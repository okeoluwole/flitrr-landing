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qiddiyaco-my.sharepoint.com/personal/ooke_qiddiya_com/Documents/Desktop/O/"/>
    </mc:Choice>
  </mc:AlternateContent>
  <xr:revisionPtr revIDLastSave="4617" documentId="13_ncr:1_{7DE1B0D0-1669-4A6A-B9DB-F4E1035330A0}" xr6:coauthVersionLast="47" xr6:coauthVersionMax="47" xr10:uidLastSave="{A435B237-253F-4C39-9606-D831D06B6215}"/>
  <workbookProtection workbookAlgorithmName="SHA-512" workbookHashValue="Ry3CzRO5S+vO3iuAdx1md+SQyEIBf/tnaxVYpDs87/hGemIl8wH1LUpvFBrEYV+iCQJ9DXNti1YyTquqbkZ+UA==" workbookSaltValue="PDf/LHKQicfMNdAdH9eBEQ==" workbookSpinCount="100000" lockStructure="1"/>
  <bookViews>
    <workbookView xWindow="28680" yWindow="-120" windowWidth="29040" windowHeight="15720" tabRatio="500" activeTab="2" xr2:uid="{00000000-000D-0000-FFFF-FFFF00000000}"/>
  </bookViews>
  <sheets>
    <sheet name="Claude Log" sheetId="9" r:id="rId1"/>
    <sheet name="Read Me" sheetId="1" r:id="rId2"/>
    <sheet name="Summary" sheetId="2" r:id="rId3"/>
    <sheet name="Inputs" sheetId="3" r:id="rId4"/>
    <sheet name="Cashflow" sheetId="8" r:id="rId5"/>
    <sheet name="Waterfall" sheetId="5" r:id="rId6"/>
    <sheet name="Sensitivity" sheetId="6" r:id="rId7"/>
    <sheet name="Comparison" sheetId="7" r:id="rId8"/>
    <sheet name="Engine" sheetId="4" r:id="rId9"/>
  </sheets>
  <definedNames>
    <definedName name="_xlnm.Print_Area" localSheetId="2">Summary!$A$1:$N$61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3" i="2" l="1"/>
  <c r="A20" i="2"/>
  <c r="A19" i="2" l="1"/>
  <c r="D54" i="3" l="1"/>
  <c r="D53" i="3"/>
  <c r="D52" i="3"/>
  <c r="D51" i="3"/>
  <c r="D50" i="3"/>
  <c r="D31" i="3"/>
  <c r="D30" i="3"/>
  <c r="D29" i="3"/>
  <c r="D28" i="3"/>
  <c r="D27" i="3"/>
  <c r="D26" i="3"/>
  <c r="D25" i="3"/>
  <c r="D23" i="3"/>
  <c r="H6" i="2"/>
  <c r="G6" i="2"/>
  <c r="E6" i="2"/>
  <c r="E105" i="3"/>
  <c r="E106" i="3"/>
  <c r="E107" i="3"/>
  <c r="E108" i="3"/>
  <c r="E109" i="3"/>
  <c r="B111" i="3"/>
  <c r="C74" i="3" s="1"/>
  <c r="B110" i="3"/>
  <c r="C75" i="3" s="1"/>
  <c r="E104" i="3"/>
  <c r="E110" i="3" s="1"/>
  <c r="B112" i="3" s="1"/>
  <c r="D49" i="4"/>
  <c r="E49" i="4"/>
  <c r="F49" i="4"/>
  <c r="G49" i="4"/>
  <c r="H49" i="4"/>
  <c r="I49" i="4"/>
  <c r="J49" i="4"/>
  <c r="K49" i="4"/>
  <c r="L49" i="4"/>
  <c r="M49" i="4"/>
  <c r="N49" i="4"/>
  <c r="O49" i="4"/>
  <c r="P49" i="4"/>
  <c r="Q49" i="4"/>
  <c r="R49" i="4"/>
  <c r="S49" i="4"/>
  <c r="T49" i="4"/>
  <c r="U49" i="4"/>
  <c r="V49" i="4"/>
  <c r="W49" i="4"/>
  <c r="X49" i="4"/>
  <c r="Y49" i="4"/>
  <c r="Z49" i="4"/>
  <c r="AA49" i="4"/>
  <c r="AB49" i="4"/>
  <c r="AC49" i="4"/>
  <c r="AD49" i="4"/>
  <c r="AE49" i="4"/>
  <c r="D12" i="8"/>
  <c r="D14" i="8" s="1"/>
  <c r="E12" i="8"/>
  <c r="F12" i="8"/>
  <c r="G12" i="8"/>
  <c r="H12" i="8"/>
  <c r="AD12" i="8"/>
  <c r="AE12" i="8"/>
  <c r="AF12" i="8"/>
  <c r="AF14" i="8" s="1"/>
  <c r="C12" i="8"/>
  <c r="C25" i="3"/>
  <c r="C97" i="3"/>
  <c r="E10" i="2" s="1"/>
  <c r="B31" i="4"/>
  <c r="E35" i="2"/>
  <c r="C80" i="3"/>
  <c r="C79" i="3"/>
  <c r="E30" i="2"/>
  <c r="E29" i="2"/>
  <c r="E13" i="2"/>
  <c r="E12" i="2"/>
  <c r="E11" i="2"/>
  <c r="E8" i="2"/>
  <c r="B16" i="2"/>
  <c r="B15" i="2"/>
  <c r="B14" i="2"/>
  <c r="B13" i="2"/>
  <c r="B12" i="2"/>
  <c r="B7" i="2"/>
  <c r="B6" i="2"/>
  <c r="A25" i="5"/>
  <c r="A19" i="5"/>
  <c r="AF33" i="4"/>
  <c r="AE33" i="4"/>
  <c r="AD33" i="4"/>
  <c r="AC33" i="4"/>
  <c r="AB33" i="4"/>
  <c r="AA33" i="4"/>
  <c r="Z33" i="4"/>
  <c r="Y33" i="4"/>
  <c r="X33" i="4"/>
  <c r="W33" i="4"/>
  <c r="V33" i="4"/>
  <c r="U33" i="4"/>
  <c r="T33" i="4"/>
  <c r="S33" i="4"/>
  <c r="R33" i="4"/>
  <c r="Q33" i="4"/>
  <c r="P33" i="4"/>
  <c r="O33" i="4"/>
  <c r="N33" i="4"/>
  <c r="M33" i="4"/>
  <c r="L33" i="4"/>
  <c r="K33" i="4"/>
  <c r="J33" i="4"/>
  <c r="I33" i="4"/>
  <c r="H33" i="4"/>
  <c r="G33" i="4"/>
  <c r="F33" i="4"/>
  <c r="E33" i="4"/>
  <c r="D33" i="4"/>
  <c r="C33" i="4"/>
  <c r="F14" i="7"/>
  <c r="AE16" i="8"/>
  <c r="AD16" i="8"/>
  <c r="AC16" i="8"/>
  <c r="AB16" i="8"/>
  <c r="AA16" i="8"/>
  <c r="Z16" i="8"/>
  <c r="Y16" i="8"/>
  <c r="X16" i="8"/>
  <c r="W16" i="8"/>
  <c r="V16" i="8"/>
  <c r="U16" i="8"/>
  <c r="T16" i="8"/>
  <c r="S16" i="8"/>
  <c r="R16" i="8"/>
  <c r="Q16" i="8"/>
  <c r="P16" i="8"/>
  <c r="O16" i="8"/>
  <c r="N16" i="8"/>
  <c r="M16" i="8"/>
  <c r="L16" i="8"/>
  <c r="K16" i="8"/>
  <c r="J16" i="8"/>
  <c r="I16" i="8"/>
  <c r="H16" i="8"/>
  <c r="G16" i="8"/>
  <c r="F16" i="8"/>
  <c r="E16" i="8"/>
  <c r="D16" i="8"/>
  <c r="C16" i="8"/>
  <c r="AK23" i="8"/>
  <c r="AE18" i="8"/>
  <c r="AD18" i="8"/>
  <c r="AC18" i="8"/>
  <c r="AB18" i="8"/>
  <c r="AA18" i="8"/>
  <c r="Z18" i="8"/>
  <c r="Y18" i="8"/>
  <c r="X18" i="8"/>
  <c r="W18" i="8"/>
  <c r="V18" i="8"/>
  <c r="U18" i="8"/>
  <c r="T18" i="8"/>
  <c r="S18" i="8"/>
  <c r="R18" i="8"/>
  <c r="Q18" i="8"/>
  <c r="P18" i="8"/>
  <c r="O18" i="8"/>
  <c r="N18" i="8"/>
  <c r="M18" i="8"/>
  <c r="L18" i="8"/>
  <c r="K18" i="8"/>
  <c r="J18" i="8"/>
  <c r="I18" i="8"/>
  <c r="H18" i="8"/>
  <c r="G18" i="8"/>
  <c r="F18" i="8"/>
  <c r="E18" i="8"/>
  <c r="D18" i="8"/>
  <c r="AF17" i="8"/>
  <c r="AE17" i="8"/>
  <c r="AD17" i="8"/>
  <c r="AC17" i="8"/>
  <c r="AB17" i="8"/>
  <c r="AA17" i="8"/>
  <c r="Z17" i="8"/>
  <c r="Y17" i="8"/>
  <c r="X17" i="8"/>
  <c r="W17" i="8"/>
  <c r="V17" i="8"/>
  <c r="U17" i="8"/>
  <c r="T17" i="8"/>
  <c r="S17" i="8"/>
  <c r="R17" i="8"/>
  <c r="Q17" i="8"/>
  <c r="P17" i="8"/>
  <c r="O17" i="8"/>
  <c r="N17" i="8"/>
  <c r="M17" i="8"/>
  <c r="L17" i="8"/>
  <c r="K17" i="8"/>
  <c r="J17" i="8"/>
  <c r="I17" i="8"/>
  <c r="H17" i="8"/>
  <c r="G17" i="8"/>
  <c r="F17" i="8"/>
  <c r="E17" i="8"/>
  <c r="D17" i="8"/>
  <c r="AF13" i="8"/>
  <c r="AE13" i="8"/>
  <c r="AD13" i="8"/>
  <c r="AC13" i="8"/>
  <c r="AB13" i="8"/>
  <c r="AA13" i="8"/>
  <c r="Z13" i="8"/>
  <c r="Y13" i="8"/>
  <c r="X13" i="8"/>
  <c r="W13" i="8"/>
  <c r="V13" i="8"/>
  <c r="U13" i="8"/>
  <c r="T13" i="8"/>
  <c r="S13" i="8"/>
  <c r="R13" i="8"/>
  <c r="Q13" i="8"/>
  <c r="P13" i="8"/>
  <c r="O13" i="8"/>
  <c r="N13" i="8"/>
  <c r="M13" i="8"/>
  <c r="L13" i="8"/>
  <c r="K13" i="8"/>
  <c r="J13" i="8"/>
  <c r="I13" i="8"/>
  <c r="H13" i="8"/>
  <c r="G13" i="8"/>
  <c r="F13" i="8"/>
  <c r="E13" i="8"/>
  <c r="D13" i="8"/>
  <c r="AF10" i="8"/>
  <c r="AE10" i="8"/>
  <c r="AD10" i="8"/>
  <c r="H10" i="8"/>
  <c r="G10" i="8"/>
  <c r="F10" i="8"/>
  <c r="E10" i="8"/>
  <c r="D10" i="8"/>
  <c r="AF9" i="8"/>
  <c r="AE9" i="8"/>
  <c r="AD9" i="8"/>
  <c r="AC9" i="8"/>
  <c r="AB9" i="8"/>
  <c r="AA9" i="8"/>
  <c r="Z9" i="8"/>
  <c r="Y9" i="8"/>
  <c r="X9" i="8"/>
  <c r="W9" i="8"/>
  <c r="V9" i="8"/>
  <c r="U9" i="8"/>
  <c r="T9" i="8"/>
  <c r="S9" i="8"/>
  <c r="R9" i="8"/>
  <c r="Q9" i="8"/>
  <c r="P9" i="8"/>
  <c r="O9" i="8"/>
  <c r="N9" i="8"/>
  <c r="M9" i="8"/>
  <c r="L9" i="8"/>
  <c r="K9" i="8"/>
  <c r="J9" i="8"/>
  <c r="I9" i="8"/>
  <c r="H9" i="8"/>
  <c r="G9" i="8"/>
  <c r="F9" i="8"/>
  <c r="E9" i="8"/>
  <c r="D9" i="8"/>
  <c r="AF7" i="8"/>
  <c r="AE7" i="8"/>
  <c r="AD7" i="8"/>
  <c r="AC7" i="8"/>
  <c r="AB7" i="8"/>
  <c r="AA7" i="8"/>
  <c r="Z7" i="8"/>
  <c r="Y7" i="8"/>
  <c r="X7" i="8"/>
  <c r="W7" i="8"/>
  <c r="V7" i="8"/>
  <c r="U7" i="8"/>
  <c r="T7" i="8"/>
  <c r="S7" i="8"/>
  <c r="R7" i="8"/>
  <c r="Q7" i="8"/>
  <c r="P7" i="8"/>
  <c r="O7" i="8"/>
  <c r="N7" i="8"/>
  <c r="M7" i="8"/>
  <c r="L7" i="8"/>
  <c r="K7" i="8"/>
  <c r="J7" i="8"/>
  <c r="I7" i="8"/>
  <c r="H7" i="8"/>
  <c r="G7" i="8"/>
  <c r="F7" i="8"/>
  <c r="E7" i="8"/>
  <c r="D7" i="8"/>
  <c r="AF5" i="8"/>
  <c r="AE5" i="8"/>
  <c r="AD5" i="8"/>
  <c r="AC5" i="8"/>
  <c r="AB5" i="8"/>
  <c r="AA5" i="8"/>
  <c r="Z5" i="8"/>
  <c r="Y5" i="8"/>
  <c r="X5" i="8"/>
  <c r="W5" i="8"/>
  <c r="V5" i="8"/>
  <c r="U5" i="8"/>
  <c r="T5" i="8"/>
  <c r="S5" i="8"/>
  <c r="R5" i="8"/>
  <c r="Q5" i="8"/>
  <c r="P5" i="8"/>
  <c r="O5" i="8"/>
  <c r="N5" i="8"/>
  <c r="M5" i="8"/>
  <c r="L5" i="8"/>
  <c r="K5" i="8"/>
  <c r="J5" i="8"/>
  <c r="I5" i="8"/>
  <c r="H5" i="8"/>
  <c r="G5" i="8"/>
  <c r="F5" i="8"/>
  <c r="E5" i="8"/>
  <c r="D5" i="8"/>
  <c r="C18" i="8"/>
  <c r="C13" i="8"/>
  <c r="C10" i="8"/>
  <c r="C9" i="8"/>
  <c r="C7" i="8"/>
  <c r="C5" i="8"/>
  <c r="C4" i="8"/>
  <c r="E4" i="8" s="1"/>
  <c r="E8" i="3"/>
  <c r="E7" i="3"/>
  <c r="E6" i="3"/>
  <c r="C20" i="3"/>
  <c r="E46" i="3" s="1"/>
  <c r="C16" i="3"/>
  <c r="C17" i="3" s="1"/>
  <c r="C18" i="3" s="1"/>
  <c r="C15" i="3"/>
  <c r="C19" i="3" s="1"/>
  <c r="C14" i="3"/>
  <c r="E21" i="3" s="1"/>
  <c r="C13" i="3"/>
  <c r="E42" i="3" s="1"/>
  <c r="G38" i="7"/>
  <c r="E38" i="7"/>
  <c r="D38" i="7"/>
  <c r="C38" i="7"/>
  <c r="G37" i="7"/>
  <c r="E37" i="7"/>
  <c r="D37" i="7"/>
  <c r="C37" i="7"/>
  <c r="G27" i="7"/>
  <c r="F27" i="7"/>
  <c r="E27" i="7"/>
  <c r="D27" i="7"/>
  <c r="C27" i="7"/>
  <c r="G26" i="7"/>
  <c r="E26" i="7"/>
  <c r="D26" i="7"/>
  <c r="C26" i="7"/>
  <c r="C21" i="7"/>
  <c r="F17" i="7"/>
  <c r="E17" i="7"/>
  <c r="D17" i="7"/>
  <c r="C17" i="7"/>
  <c r="G16" i="7"/>
  <c r="F16" i="7"/>
  <c r="D16" i="7"/>
  <c r="C16" i="7"/>
  <c r="G15" i="7"/>
  <c r="G21" i="7" s="1"/>
  <c r="C15" i="7"/>
  <c r="C6" i="7"/>
  <c r="B7" i="6"/>
  <c r="B6" i="6"/>
  <c r="E20" i="5"/>
  <c r="D20" i="5"/>
  <c r="C20" i="5"/>
  <c r="C10" i="4"/>
  <c r="B9" i="4"/>
  <c r="C56" i="3"/>
  <c r="C55" i="3"/>
  <c r="C50" i="3"/>
  <c r="Q10" i="8" s="1"/>
  <c r="T10" i="8" l="1"/>
  <c r="U10" i="8"/>
  <c r="E14" i="2"/>
  <c r="Z5" i="4"/>
  <c r="Z6" i="4" s="1"/>
  <c r="V12" i="8"/>
  <c r="V14" i="8" s="1"/>
  <c r="U12" i="8"/>
  <c r="U14" i="8" s="1"/>
  <c r="T12" i="8"/>
  <c r="T14" i="8" s="1"/>
  <c r="P12" i="8"/>
  <c r="P14" i="8" s="1"/>
  <c r="O12" i="8"/>
  <c r="O14" i="8" s="1"/>
  <c r="F5" i="4"/>
  <c r="F6" i="4" s="1"/>
  <c r="H5" i="4"/>
  <c r="H6" i="4" s="1"/>
  <c r="W5" i="4"/>
  <c r="W6" i="4" s="1"/>
  <c r="E5" i="4"/>
  <c r="E6" i="4" s="1"/>
  <c r="Y5" i="4"/>
  <c r="Y6" i="4" s="1"/>
  <c r="E9" i="2"/>
  <c r="X5" i="4"/>
  <c r="X6" i="4" s="1"/>
  <c r="G5" i="4"/>
  <c r="G6" i="4" s="1"/>
  <c r="AE5" i="4"/>
  <c r="AE6" i="4" s="1"/>
  <c r="AD5" i="4"/>
  <c r="AD6" i="4" s="1"/>
  <c r="AD20" i="8" s="1"/>
  <c r="D5" i="4"/>
  <c r="D6" i="4" s="1"/>
  <c r="C5" i="4"/>
  <c r="C6" i="4" s="1"/>
  <c r="C20" i="8" s="1"/>
  <c r="AF5" i="4"/>
  <c r="AF6" i="4" s="1"/>
  <c r="E23" i="2"/>
  <c r="AA5" i="4"/>
  <c r="AA6" i="4" s="1"/>
  <c r="G15" i="2"/>
  <c r="G10" i="2"/>
  <c r="G22" i="2"/>
  <c r="G20" i="2"/>
  <c r="G11" i="2"/>
  <c r="G24" i="2"/>
  <c r="G23" i="2"/>
  <c r="G18" i="2"/>
  <c r="G14" i="2"/>
  <c r="G9" i="2"/>
  <c r="G8" i="2"/>
  <c r="G21" i="2"/>
  <c r="B9" i="2"/>
  <c r="G13" i="2"/>
  <c r="G12" i="2"/>
  <c r="G19" i="2"/>
  <c r="H23" i="2"/>
  <c r="H21" i="2"/>
  <c r="H20" i="2"/>
  <c r="H10" i="2"/>
  <c r="H14" i="2"/>
  <c r="H9" i="2"/>
  <c r="H13" i="2"/>
  <c r="H11" i="2"/>
  <c r="H18" i="2"/>
  <c r="H24" i="2"/>
  <c r="B10" i="2"/>
  <c r="H15" i="2"/>
  <c r="H8" i="2"/>
  <c r="H22" i="2"/>
  <c r="H12" i="2"/>
  <c r="H19" i="2"/>
  <c r="B8" i="2"/>
  <c r="T5" i="4"/>
  <c r="T6" i="4" s="1"/>
  <c r="N12" i="8"/>
  <c r="N14" i="8" s="1"/>
  <c r="S5" i="4"/>
  <c r="S6" i="4" s="1"/>
  <c r="M12" i="8"/>
  <c r="M14" i="8" s="1"/>
  <c r="R5" i="4"/>
  <c r="R6" i="4" s="1"/>
  <c r="L12" i="8"/>
  <c r="L14" i="8" s="1"/>
  <c r="C51" i="3"/>
  <c r="G20" i="7" s="1"/>
  <c r="G22" i="7" s="1"/>
  <c r="G31" i="7" s="1"/>
  <c r="N5" i="4"/>
  <c r="N6" i="4" s="1"/>
  <c r="K12" i="8"/>
  <c r="K14" i="8" s="1"/>
  <c r="L5" i="4"/>
  <c r="L6" i="4" s="1"/>
  <c r="AB12" i="8"/>
  <c r="AB14" i="8" s="1"/>
  <c r="M5" i="4"/>
  <c r="M6" i="4" s="1"/>
  <c r="K5" i="4"/>
  <c r="K6" i="4" s="1"/>
  <c r="K20" i="8" s="1"/>
  <c r="AA12" i="8"/>
  <c r="AA14" i="8" s="1"/>
  <c r="AC12" i="8"/>
  <c r="AC14" i="8" s="1"/>
  <c r="J5" i="4"/>
  <c r="J6" i="4" s="1"/>
  <c r="Z12" i="8"/>
  <c r="Z14" i="8" s="1"/>
  <c r="AB5" i="4"/>
  <c r="AB6" i="4" s="1"/>
  <c r="I5" i="4"/>
  <c r="I6" i="4" s="1"/>
  <c r="Y12" i="8"/>
  <c r="Y14" i="8" s="1"/>
  <c r="V5" i="4"/>
  <c r="V6" i="4" s="1"/>
  <c r="X12" i="8"/>
  <c r="X14" i="8" s="1"/>
  <c r="J12" i="8"/>
  <c r="J14" i="8" s="1"/>
  <c r="U5" i="4"/>
  <c r="U6" i="4" s="1"/>
  <c r="W12" i="8"/>
  <c r="W14" i="8" s="1"/>
  <c r="I12" i="8"/>
  <c r="Q5" i="4"/>
  <c r="Q6" i="4" s="1"/>
  <c r="S12" i="8"/>
  <c r="S14" i="8" s="1"/>
  <c r="P5" i="4"/>
  <c r="P6" i="4" s="1"/>
  <c r="R12" i="8"/>
  <c r="R14" i="8" s="1"/>
  <c r="AC5" i="4"/>
  <c r="AC6" i="4" s="1"/>
  <c r="O5" i="4"/>
  <c r="O6" i="4" s="1"/>
  <c r="Q12" i="8"/>
  <c r="Q14" i="8" s="1"/>
  <c r="A4" i="2"/>
  <c r="A3" i="3"/>
  <c r="A2" i="8"/>
  <c r="A2" i="7"/>
  <c r="A2" i="6"/>
  <c r="A2" i="4"/>
  <c r="A2" i="5"/>
  <c r="F14" i="8"/>
  <c r="F11" i="8"/>
  <c r="G11" i="8"/>
  <c r="S10" i="8"/>
  <c r="S11" i="8" s="1"/>
  <c r="AD14" i="8"/>
  <c r="AC10" i="8"/>
  <c r="AC11" i="8" s="1"/>
  <c r="Q4" i="8"/>
  <c r="E11" i="3"/>
  <c r="U4" i="8"/>
  <c r="S4" i="8"/>
  <c r="P4" i="8"/>
  <c r="L4" i="8"/>
  <c r="H11" i="8"/>
  <c r="H14" i="8"/>
  <c r="I10" i="8"/>
  <c r="I11" i="8" s="1"/>
  <c r="K4" i="8"/>
  <c r="E39" i="3"/>
  <c r="J4" i="8"/>
  <c r="AE14" i="8"/>
  <c r="U11" i="8"/>
  <c r="AE4" i="8"/>
  <c r="AD11" i="8"/>
  <c r="I4" i="8"/>
  <c r="D4" i="8"/>
  <c r="T11" i="8"/>
  <c r="AD4" i="8"/>
  <c r="AC4" i="8"/>
  <c r="W4" i="8"/>
  <c r="K10" i="8"/>
  <c r="K11" i="8" s="1"/>
  <c r="Q11" i="8"/>
  <c r="V4" i="8"/>
  <c r="R10" i="8"/>
  <c r="R11" i="8" s="1"/>
  <c r="AK9" i="8"/>
  <c r="AK13" i="8"/>
  <c r="O4" i="8"/>
  <c r="O10" i="8"/>
  <c r="O11" i="8" s="1"/>
  <c r="Z4" i="8"/>
  <c r="H4" i="8"/>
  <c r="V10" i="8"/>
  <c r="V11" i="8" s="1"/>
  <c r="Y4" i="8"/>
  <c r="G4" i="8"/>
  <c r="W10" i="8"/>
  <c r="W11" i="8" s="1"/>
  <c r="X4" i="8"/>
  <c r="AK5" i="8"/>
  <c r="AK7" i="8"/>
  <c r="E11" i="8"/>
  <c r="Y10" i="8"/>
  <c r="Y11" i="8" s="1"/>
  <c r="C11" i="8"/>
  <c r="C14" i="8"/>
  <c r="T4" i="8"/>
  <c r="F4" i="8"/>
  <c r="J10" i="8"/>
  <c r="J11" i="8" s="1"/>
  <c r="X10" i="8"/>
  <c r="X11" i="8" s="1"/>
  <c r="E14" i="8"/>
  <c r="AF4" i="8"/>
  <c r="R4" i="8"/>
  <c r="AG4" i="8"/>
  <c r="L10" i="8"/>
  <c r="L11" i="8" s="1"/>
  <c r="Z10" i="8"/>
  <c r="Z11" i="8" s="1"/>
  <c r="G14" i="8"/>
  <c r="M10" i="8"/>
  <c r="M11" i="8" s="1"/>
  <c r="AA10" i="8"/>
  <c r="AA11" i="8" s="1"/>
  <c r="N10" i="8"/>
  <c r="N11" i="8" s="1"/>
  <c r="AB10" i="8"/>
  <c r="AB11" i="8" s="1"/>
  <c r="AB4" i="8"/>
  <c r="N4" i="8"/>
  <c r="P10" i="8"/>
  <c r="P11" i="8" s="1"/>
  <c r="AA4" i="8"/>
  <c r="M4" i="8"/>
  <c r="D11" i="8"/>
  <c r="AF11" i="8"/>
  <c r="AE11" i="8"/>
  <c r="E6" i="5"/>
  <c r="W6" i="8"/>
  <c r="W8" i="8" s="1"/>
  <c r="I6" i="8"/>
  <c r="I8" i="8" s="1"/>
  <c r="V6" i="8"/>
  <c r="V8" i="8" s="1"/>
  <c r="H6" i="8"/>
  <c r="H8" i="8" s="1"/>
  <c r="U6" i="8"/>
  <c r="U8" i="8" s="1"/>
  <c r="AC6" i="8"/>
  <c r="AC8" i="8" s="1"/>
  <c r="E31" i="3"/>
  <c r="L6" i="8"/>
  <c r="L8" i="8" s="1"/>
  <c r="G6" i="8"/>
  <c r="G8" i="8" s="1"/>
  <c r="S6" i="8"/>
  <c r="S8" i="8" s="1"/>
  <c r="E6" i="8"/>
  <c r="E8" i="8" s="1"/>
  <c r="AF6" i="8"/>
  <c r="AF8" i="8" s="1"/>
  <c r="D6" i="8"/>
  <c r="D8" i="8" s="1"/>
  <c r="Q6" i="8"/>
  <c r="Q8" i="8" s="1"/>
  <c r="C6" i="8"/>
  <c r="AD6" i="8"/>
  <c r="AD8" i="8" s="1"/>
  <c r="P6" i="8"/>
  <c r="P8" i="8" s="1"/>
  <c r="R6" i="8"/>
  <c r="R8" i="8" s="1"/>
  <c r="AE6" i="8"/>
  <c r="AE8" i="8" s="1"/>
  <c r="T6" i="8"/>
  <c r="T8" i="8" s="1"/>
  <c r="F6" i="8"/>
  <c r="F8" i="8" s="1"/>
  <c r="O6" i="8"/>
  <c r="O8" i="8" s="1"/>
  <c r="AB6" i="8"/>
  <c r="AB8" i="8" s="1"/>
  <c r="N6" i="8"/>
  <c r="N8" i="8" s="1"/>
  <c r="AA6" i="8"/>
  <c r="AA8" i="8" s="1"/>
  <c r="M6" i="8"/>
  <c r="M8" i="8" s="1"/>
  <c r="Z6" i="8"/>
  <c r="Z8" i="8" s="1"/>
  <c r="Y6" i="8"/>
  <c r="Y8" i="8" s="1"/>
  <c r="K6" i="8"/>
  <c r="K8" i="8" s="1"/>
  <c r="X6" i="8"/>
  <c r="X8" i="8" s="1"/>
  <c r="J6" i="8"/>
  <c r="J8" i="8" s="1"/>
  <c r="E43" i="3"/>
  <c r="E40" i="3"/>
  <c r="E41" i="3"/>
  <c r="E44" i="3"/>
  <c r="E45" i="3"/>
  <c r="F10" i="5"/>
  <c r="C31" i="5"/>
  <c r="G17" i="7"/>
  <c r="E15" i="7" l="1"/>
  <c r="E16" i="7" s="1"/>
  <c r="C20" i="7"/>
  <c r="C22" i="7" s="1"/>
  <c r="C25" i="7" s="1"/>
  <c r="AK12" i="8"/>
  <c r="F20" i="7"/>
  <c r="E20" i="7"/>
  <c r="D20" i="7"/>
  <c r="D15" i="7"/>
  <c r="D21" i="7" s="1"/>
  <c r="C52" i="3"/>
  <c r="C53" i="3" s="1"/>
  <c r="C54" i="3" s="1"/>
  <c r="E21" i="5"/>
  <c r="C49" i="4"/>
  <c r="M13" i="2"/>
  <c r="E20" i="8"/>
  <c r="E21" i="8" s="1"/>
  <c r="E22" i="8" s="1"/>
  <c r="S20" i="8"/>
  <c r="S21" i="8" s="1"/>
  <c r="S22" i="8" s="1"/>
  <c r="H20" i="8"/>
  <c r="H21" i="8" s="1"/>
  <c r="AA20" i="8"/>
  <c r="AA21" i="8" s="1"/>
  <c r="O20" i="8"/>
  <c r="O21" i="8" s="1"/>
  <c r="O22" i="8" s="1"/>
  <c r="D20" i="8"/>
  <c r="D21" i="8" s="1"/>
  <c r="D22" i="8" s="1"/>
  <c r="R20" i="8"/>
  <c r="R21" i="8" s="1"/>
  <c r="R22" i="8" s="1"/>
  <c r="T20" i="8"/>
  <c r="T21" i="8" s="1"/>
  <c r="T22" i="8" s="1"/>
  <c r="F20" i="8"/>
  <c r="I20" i="8"/>
  <c r="I21" i="8" s="1"/>
  <c r="I22" i="8" s="1"/>
  <c r="W20" i="8"/>
  <c r="AB20" i="8"/>
  <c r="AC20" i="8"/>
  <c r="AC21" i="8" s="1"/>
  <c r="AC22" i="8" s="1"/>
  <c r="J20" i="8"/>
  <c r="J21" i="8" s="1"/>
  <c r="J22" i="8" s="1"/>
  <c r="Y20" i="8"/>
  <c r="Y21" i="8" s="1"/>
  <c r="Y22" i="8" s="1"/>
  <c r="P20" i="8"/>
  <c r="P21" i="8" s="1"/>
  <c r="P22" i="8" s="1"/>
  <c r="M20" i="8"/>
  <c r="M21" i="8" s="1"/>
  <c r="U20" i="8"/>
  <c r="X20" i="8"/>
  <c r="X21" i="8" s="1"/>
  <c r="X22" i="8" s="1"/>
  <c r="AE20" i="8"/>
  <c r="Z20" i="8"/>
  <c r="L20" i="8"/>
  <c r="L21" i="8" s="1"/>
  <c r="L22" i="8" s="1"/>
  <c r="V20" i="8"/>
  <c r="V21" i="8" s="1"/>
  <c r="V22" i="8" s="1"/>
  <c r="G20" i="8"/>
  <c r="N20" i="8"/>
  <c r="N21" i="8" s="1"/>
  <c r="N22" i="8" s="1"/>
  <c r="Q20" i="8"/>
  <c r="Q21" i="8" s="1"/>
  <c r="Q22" i="8" s="1"/>
  <c r="I14" i="8"/>
  <c r="AD21" i="8"/>
  <c r="AD22" i="8" s="1"/>
  <c r="C21" i="8"/>
  <c r="C22" i="8" s="1"/>
  <c r="K21" i="8"/>
  <c r="B30" i="4"/>
  <c r="AF20" i="8" s="1"/>
  <c r="AK10" i="8"/>
  <c r="AG23" i="8" a="1"/>
  <c r="AG23" i="8" s="1"/>
  <c r="AJ4" i="8"/>
  <c r="AG13" i="8" a="1"/>
  <c r="AG13" i="8" s="1"/>
  <c r="AG12" i="8" a="1"/>
  <c r="AG12" i="8" s="1"/>
  <c r="AG10" i="8" a="1"/>
  <c r="AG10" i="8" s="1"/>
  <c r="AI4" i="8"/>
  <c r="AH4" i="8"/>
  <c r="AG14" i="8" a="1"/>
  <c r="AG14" i="8" s="1"/>
  <c r="AG11" i="8" a="1"/>
  <c r="AG11" i="8" s="1"/>
  <c r="AG5" i="8" a="1"/>
  <c r="AG5" i="8" s="1"/>
  <c r="AG7" i="8" a="1"/>
  <c r="AG7" i="8" s="1"/>
  <c r="AK14" i="8"/>
  <c r="AK11" i="8"/>
  <c r="G25" i="7"/>
  <c r="AG9" i="8" a="1"/>
  <c r="AG9" i="8" s="1"/>
  <c r="E34" i="5"/>
  <c r="AJ6" i="8" a="1"/>
  <c r="AJ6" i="8" s="1"/>
  <c r="C8" i="8"/>
  <c r="AI6" i="8" a="1"/>
  <c r="AI6" i="8" s="1"/>
  <c r="AH6" i="8" a="1"/>
  <c r="AH6" i="8" s="1"/>
  <c r="AG6" i="8" a="1"/>
  <c r="AG6" i="8" s="1"/>
  <c r="AK6" i="8"/>
  <c r="G35" i="7"/>
  <c r="D43" i="2" s="1"/>
  <c r="G32" i="7"/>
  <c r="F43" i="2" s="1"/>
  <c r="B5" i="4"/>
  <c r="C31" i="7"/>
  <c r="D22" i="7" l="1"/>
  <c r="AB21" i="8"/>
  <c r="AB22" i="8" s="1"/>
  <c r="AE21" i="8"/>
  <c r="AE22" i="8" s="1"/>
  <c r="U21" i="8"/>
  <c r="U22" i="8" s="1"/>
  <c r="W21" i="8"/>
  <c r="W22" i="8" s="1"/>
  <c r="M22" i="8"/>
  <c r="G21" i="8"/>
  <c r="G22" i="8" s="1"/>
  <c r="H22" i="8"/>
  <c r="F21" i="8"/>
  <c r="F22" i="8" s="1"/>
  <c r="Z21" i="8"/>
  <c r="Z22" i="8" s="1"/>
  <c r="AA22" i="8"/>
  <c r="C39" i="7"/>
  <c r="C40" i="7" s="1"/>
  <c r="AK20" i="8"/>
  <c r="E20" i="2"/>
  <c r="B29" i="2"/>
  <c r="B30" i="2"/>
  <c r="G28" i="7"/>
  <c r="G39" i="7"/>
  <c r="G40" i="7" s="1"/>
  <c r="M7" i="2"/>
  <c r="E15" i="2"/>
  <c r="K22" i="8"/>
  <c r="B27" i="4"/>
  <c r="G34" i="7"/>
  <c r="G36" i="7" s="1"/>
  <c r="E43" i="2" s="1"/>
  <c r="G33" i="7"/>
  <c r="B43" i="2" s="1"/>
  <c r="AH13" i="8" a="1"/>
  <c r="AH13" i="8" s="1"/>
  <c r="AH10" i="8" a="1"/>
  <c r="AH10" i="8" s="1"/>
  <c r="AH5" i="8" a="1"/>
  <c r="AH5" i="8" s="1"/>
  <c r="AH20" i="8" a="1"/>
  <c r="AH20" i="8" s="1"/>
  <c r="AH9" i="8" a="1"/>
  <c r="AH9" i="8" s="1"/>
  <c r="AH12" i="8" a="1"/>
  <c r="AH12" i="8" s="1"/>
  <c r="AH23" i="8" a="1"/>
  <c r="AH23" i="8" s="1"/>
  <c r="AH14" i="8" a="1"/>
  <c r="AH14" i="8" s="1"/>
  <c r="AH11" i="8" a="1"/>
  <c r="AH11" i="8" s="1"/>
  <c r="AH7" i="8" a="1"/>
  <c r="AH7" i="8" s="1"/>
  <c r="AI13" i="8" a="1"/>
  <c r="AI13" i="8" s="1"/>
  <c r="AI9" i="8" a="1"/>
  <c r="AI9" i="8" s="1"/>
  <c r="AI12" i="8" a="1"/>
  <c r="AI12" i="8" s="1"/>
  <c r="AI10" i="8" a="1"/>
  <c r="AI10" i="8" s="1"/>
  <c r="AI23" i="8" a="1"/>
  <c r="AI23" i="8" s="1"/>
  <c r="AI14" i="8" a="1"/>
  <c r="AI14" i="8" s="1"/>
  <c r="AI20" i="8" a="1"/>
  <c r="AI20" i="8" s="1"/>
  <c r="AI5" i="8" a="1"/>
  <c r="AI5" i="8" s="1"/>
  <c r="AI11" i="8" a="1"/>
  <c r="AI11" i="8" s="1"/>
  <c r="AI7" i="8" a="1"/>
  <c r="AI7" i="8" s="1"/>
  <c r="AJ7" i="8" a="1"/>
  <c r="AJ7" i="8" s="1"/>
  <c r="AJ9" i="8" a="1"/>
  <c r="AJ9" i="8" s="1"/>
  <c r="AJ20" i="8" a="1"/>
  <c r="AJ20" i="8" s="1"/>
  <c r="AJ5" i="8" a="1"/>
  <c r="AJ5" i="8" s="1"/>
  <c r="AJ12" i="8" a="1"/>
  <c r="AJ12" i="8" s="1"/>
  <c r="AJ13" i="8" a="1"/>
  <c r="AJ13" i="8" s="1"/>
  <c r="AJ23" i="8" a="1"/>
  <c r="AJ23" i="8" s="1"/>
  <c r="AJ10" i="8" a="1"/>
  <c r="AJ10" i="8" s="1"/>
  <c r="AJ11" i="8" a="1"/>
  <c r="AJ11" i="8" s="1"/>
  <c r="AJ14" i="8" a="1"/>
  <c r="AJ14" i="8" s="1"/>
  <c r="F15" i="7"/>
  <c r="AJ8" i="8" a="1"/>
  <c r="AJ8" i="8" s="1"/>
  <c r="AI8" i="8" a="1"/>
  <c r="AI8" i="8" s="1"/>
  <c r="AH8" i="8" a="1"/>
  <c r="AH8" i="8" s="1"/>
  <c r="AK8" i="8"/>
  <c r="AG8" i="8" a="1"/>
  <c r="AG8" i="8" s="1"/>
  <c r="B8" i="4"/>
  <c r="C12" i="4" s="1"/>
  <c r="C11" i="4" s="1"/>
  <c r="C15" i="8" s="1"/>
  <c r="D25" i="7"/>
  <c r="D31" i="7"/>
  <c r="E21" i="7"/>
  <c r="E22" i="7" s="1"/>
  <c r="C34" i="7"/>
  <c r="C36" i="7" s="1"/>
  <c r="E39" i="2" s="1"/>
  <c r="C35" i="7"/>
  <c r="D39" i="2" s="1"/>
  <c r="C32" i="7"/>
  <c r="F39" i="2" s="1"/>
  <c r="C33" i="7"/>
  <c r="B39" i="2" s="1"/>
  <c r="C28" i="7"/>
  <c r="D39" i="7" l="1"/>
  <c r="D40" i="7" s="1"/>
  <c r="AF21" i="8"/>
  <c r="AG20" i="8" a="1"/>
  <c r="AG20" i="8" s="1"/>
  <c r="B28" i="4"/>
  <c r="AF16" i="8" s="1"/>
  <c r="AK16" i="8" s="1"/>
  <c r="E19" i="2"/>
  <c r="F11" i="2"/>
  <c r="F12" i="2"/>
  <c r="F15" i="2"/>
  <c r="F10" i="2"/>
  <c r="F9" i="2"/>
  <c r="F8" i="2"/>
  <c r="F13" i="2"/>
  <c r="F14" i="2"/>
  <c r="B18" i="4"/>
  <c r="C17" i="8" s="1"/>
  <c r="AG17" i="8" s="1" a="1"/>
  <c r="AG17" i="8" s="1"/>
  <c r="C14" i="4"/>
  <c r="C48" i="4" s="1"/>
  <c r="E25" i="7"/>
  <c r="E31" i="7"/>
  <c r="D35" i="7"/>
  <c r="D40" i="2" s="1"/>
  <c r="D32" i="7"/>
  <c r="F40" i="2" s="1"/>
  <c r="D34" i="7"/>
  <c r="D36" i="7" s="1"/>
  <c r="E40" i="2" s="1"/>
  <c r="D33" i="7"/>
  <c r="B40" i="2" s="1"/>
  <c r="D28" i="7"/>
  <c r="AG16" i="8" l="1" a="1"/>
  <c r="AG16" i="8" s="1"/>
  <c r="AJ16" i="8" a="1"/>
  <c r="AJ16" i="8" s="1"/>
  <c r="AH16" i="8" a="1"/>
  <c r="AH16" i="8" s="1"/>
  <c r="AI16" i="8" a="1"/>
  <c r="AI16" i="8" s="1"/>
  <c r="AK17" i="8"/>
  <c r="C19" i="8"/>
  <c r="C24" i="8" s="1"/>
  <c r="C34" i="4" s="1"/>
  <c r="C35" i="4"/>
  <c r="B29" i="4"/>
  <c r="E39" i="7"/>
  <c r="E40" i="7" s="1"/>
  <c r="AH17" i="8" a="1"/>
  <c r="AH17" i="8" s="1"/>
  <c r="AF22" i="8"/>
  <c r="AJ21" i="8" a="1"/>
  <c r="AJ21" i="8" s="1"/>
  <c r="AK21" i="8"/>
  <c r="AI21" i="8" a="1"/>
  <c r="AI21" i="8" s="1"/>
  <c r="AG21" i="8" a="1"/>
  <c r="AG21" i="8" s="1"/>
  <c r="AH21" i="8" a="1"/>
  <c r="AH21" i="8" s="1"/>
  <c r="AJ17" i="8" a="1"/>
  <c r="AJ17" i="8" s="1"/>
  <c r="AI17" i="8" a="1"/>
  <c r="AI17" i="8" s="1"/>
  <c r="C13" i="4"/>
  <c r="D10" i="4" s="1"/>
  <c r="D12" i="4" s="1"/>
  <c r="E35" i="7"/>
  <c r="D41" i="2" s="1"/>
  <c r="E32" i="7"/>
  <c r="F41" i="2" s="1"/>
  <c r="E34" i="7"/>
  <c r="E36" i="7" s="1"/>
  <c r="E41" i="2" s="1"/>
  <c r="E33" i="7"/>
  <c r="B41" i="2" s="1"/>
  <c r="E28" i="7"/>
  <c r="C36" i="4" l="1"/>
  <c r="D11" i="4"/>
  <c r="AK22" i="8"/>
  <c r="AI22" i="8" a="1"/>
  <c r="AI22" i="8" s="1"/>
  <c r="AJ22" i="8" a="1"/>
  <c r="AJ22" i="8" s="1"/>
  <c r="AH22" i="8" a="1"/>
  <c r="AH22" i="8" s="1"/>
  <c r="AG22" i="8" a="1"/>
  <c r="AG22" i="8" s="1"/>
  <c r="C25" i="8"/>
  <c r="D14" i="4" l="1"/>
  <c r="D15" i="8"/>
  <c r="D19" i="8" s="1"/>
  <c r="D48" i="4" l="1"/>
  <c r="D47" i="4"/>
  <c r="D35" i="4"/>
  <c r="D13" i="4"/>
  <c r="E10" i="4" s="1"/>
  <c r="E12" i="4" s="1"/>
  <c r="D36" i="4" l="1"/>
  <c r="E11" i="4"/>
  <c r="D24" i="8"/>
  <c r="D34" i="4" s="1"/>
  <c r="E14" i="4" l="1"/>
  <c r="E15" i="8"/>
  <c r="E19" i="8" s="1"/>
  <c r="D25" i="8"/>
  <c r="E48" i="4" l="1"/>
  <c r="E47" i="4"/>
  <c r="E35" i="4"/>
  <c r="E13" i="4"/>
  <c r="F10" i="4" s="1"/>
  <c r="F12" i="4" s="1"/>
  <c r="E24" i="8"/>
  <c r="E36" i="4" l="1"/>
  <c r="F11" i="4"/>
  <c r="E25" i="8"/>
  <c r="E34" i="4"/>
  <c r="F14" i="4" l="1"/>
  <c r="F15" i="8"/>
  <c r="F19" i="8" s="1"/>
  <c r="F47" i="4" l="1"/>
  <c r="F48" i="4"/>
  <c r="F35" i="4"/>
  <c r="F24" i="8"/>
  <c r="F34" i="4" s="1"/>
  <c r="F13" i="4"/>
  <c r="F36" i="4" l="1"/>
  <c r="F25" i="8"/>
  <c r="G10" i="4"/>
  <c r="G12" i="4" s="1"/>
  <c r="G11" i="4" l="1"/>
  <c r="G14" i="4" l="1"/>
  <c r="G35" i="4" s="1"/>
  <c r="G13" i="4"/>
  <c r="H10" i="4" s="1"/>
  <c r="H12" i="4" s="1"/>
  <c r="H11" i="4" s="1"/>
  <c r="G15" i="8"/>
  <c r="G19" i="8" s="1"/>
  <c r="G36" i="4" l="1"/>
  <c r="G48" i="4"/>
  <c r="G47" i="4"/>
  <c r="H14" i="4"/>
  <c r="H15" i="8"/>
  <c r="H19" i="8" s="1"/>
  <c r="G24" i="8"/>
  <c r="G34" i="4" s="1"/>
  <c r="H48" i="4" l="1"/>
  <c r="H47" i="4"/>
  <c r="H35" i="4"/>
  <c r="H36" i="4" s="1"/>
  <c r="H13" i="4"/>
  <c r="I10" i="4" s="1"/>
  <c r="I12" i="4" s="1"/>
  <c r="G25" i="8"/>
  <c r="H24" i="8"/>
  <c r="H34" i="4" s="1"/>
  <c r="I11" i="4" l="1"/>
  <c r="H25" i="8"/>
  <c r="I15" i="8" l="1"/>
  <c r="I14" i="4"/>
  <c r="I13" i="4"/>
  <c r="J10" i="4" s="1"/>
  <c r="J12" i="4" s="1"/>
  <c r="I48" i="4" l="1"/>
  <c r="I47" i="4"/>
  <c r="J14" i="4"/>
  <c r="I35" i="4"/>
  <c r="I36" i="4" s="1"/>
  <c r="I19" i="8"/>
  <c r="I24" i="8" s="1"/>
  <c r="J47" i="4" l="1"/>
  <c r="J48" i="4"/>
  <c r="J11" i="4"/>
  <c r="J15" i="8" s="1"/>
  <c r="I34" i="4"/>
  <c r="I25" i="8"/>
  <c r="J35" i="4"/>
  <c r="J36" i="4" s="1"/>
  <c r="J13" i="4" l="1"/>
  <c r="K10" i="4" s="1"/>
  <c r="J19" i="8"/>
  <c r="J24" i="8" s="1"/>
  <c r="K12" i="4" l="1"/>
  <c r="K14" i="4" s="1"/>
  <c r="J25" i="8"/>
  <c r="J34" i="4"/>
  <c r="K11" i="4" l="1"/>
  <c r="K13" i="4" s="1"/>
  <c r="L10" i="4" s="1"/>
  <c r="L12" i="4" s="1"/>
  <c r="K35" i="4"/>
  <c r="K36" i="4" s="1"/>
  <c r="K48" i="4"/>
  <c r="K47" i="4"/>
  <c r="K15" i="8" l="1"/>
  <c r="K19" i="8" s="1"/>
  <c r="K24" i="8" s="1"/>
  <c r="K34" i="4" s="1"/>
  <c r="L11" i="4"/>
  <c r="L13" i="4" s="1"/>
  <c r="M10" i="4" s="1"/>
  <c r="M12" i="4" s="1"/>
  <c r="L14" i="4"/>
  <c r="L15" i="8" l="1"/>
  <c r="L19" i="8" s="1"/>
  <c r="L24" i="8" s="1"/>
  <c r="K25" i="8"/>
  <c r="L35" i="4"/>
  <c r="L36" i="4" s="1"/>
  <c r="L48" i="4"/>
  <c r="L47" i="4"/>
  <c r="M14" i="4"/>
  <c r="M47" i="4" l="1"/>
  <c r="M48" i="4"/>
  <c r="M11" i="4"/>
  <c r="M15" i="8" s="1"/>
  <c r="M19" i="8" s="1"/>
  <c r="M24" i="8" s="1"/>
  <c r="L25" i="8"/>
  <c r="L34" i="4"/>
  <c r="M35" i="4"/>
  <c r="M36" i="4" s="1"/>
  <c r="M13" i="4" l="1"/>
  <c r="N10" i="4" s="1"/>
  <c r="M25" i="8"/>
  <c r="M34" i="4"/>
  <c r="N12" i="4" l="1"/>
  <c r="N14" i="4" s="1"/>
  <c r="N48" i="4" l="1"/>
  <c r="N47" i="4"/>
  <c r="N11" i="4"/>
  <c r="N15" i="8" s="1"/>
  <c r="N19" i="8" s="1"/>
  <c r="N24" i="8" s="1"/>
  <c r="N25" i="8" s="1"/>
  <c r="N35" i="4"/>
  <c r="N36" i="4" s="1"/>
  <c r="N13" i="4" l="1"/>
  <c r="O10" i="4" s="1"/>
  <c r="O12" i="4" s="1"/>
  <c r="N34" i="4"/>
  <c r="O11" i="4" l="1"/>
  <c r="O15" i="8" s="1"/>
  <c r="O19" i="8" s="1"/>
  <c r="O24" i="8" s="1"/>
  <c r="O14" i="4"/>
  <c r="O48" i="4" l="1"/>
  <c r="O47" i="4"/>
  <c r="O25" i="8"/>
  <c r="O34" i="4"/>
  <c r="O35" i="4"/>
  <c r="O36" i="4" s="1"/>
  <c r="O13" i="4"/>
  <c r="P10" i="4" s="1"/>
  <c r="P12" i="4" s="1"/>
  <c r="P11" i="4" l="1"/>
  <c r="P15" i="8" s="1"/>
  <c r="P19" i="8" s="1"/>
  <c r="P24" i="8" s="1"/>
  <c r="P14" i="4"/>
  <c r="P47" i="4" l="1"/>
  <c r="P48" i="4"/>
  <c r="P25" i="8"/>
  <c r="P34" i="4"/>
  <c r="P35" i="4"/>
  <c r="P36" i="4" s="1"/>
  <c r="P13" i="4"/>
  <c r="Q10" i="4" s="1"/>
  <c r="Q12" i="4" s="1"/>
  <c r="Q11" i="4" l="1"/>
  <c r="Q14" i="4"/>
  <c r="Q48" i="4" l="1"/>
  <c r="Q47" i="4"/>
  <c r="Q13" i="4"/>
  <c r="R10" i="4" s="1"/>
  <c r="Q15" i="8"/>
  <c r="Q19" i="8" s="1"/>
  <c r="Q24" i="8" s="1"/>
  <c r="Q35" i="4"/>
  <c r="Q36" i="4" s="1"/>
  <c r="R12" i="4" l="1"/>
  <c r="R14" i="4" s="1"/>
  <c r="Q34" i="4"/>
  <c r="Q25" i="8"/>
  <c r="R48" i="4" l="1"/>
  <c r="R47" i="4"/>
  <c r="R11" i="4"/>
  <c r="R15" i="8" s="1"/>
  <c r="R19" i="8" s="1"/>
  <c r="R24" i="8" s="1"/>
  <c r="R25" i="8" s="1"/>
  <c r="R35" i="4"/>
  <c r="R36" i="4" s="1"/>
  <c r="R13" i="4" l="1"/>
  <c r="S10" i="4" s="1"/>
  <c r="S12" i="4" s="1"/>
  <c r="S11" i="4" s="1"/>
  <c r="R34" i="4"/>
  <c r="S13" i="4" l="1"/>
  <c r="T10" i="4" s="1"/>
  <c r="T12" i="4" s="1"/>
  <c r="S15" i="8"/>
  <c r="S19" i="8" s="1"/>
  <c r="S24" i="8" s="1"/>
  <c r="S14" i="4"/>
  <c r="T11" i="4" l="1"/>
  <c r="T15" i="8" s="1"/>
  <c r="T19" i="8" s="1"/>
  <c r="T24" i="8" s="1"/>
  <c r="S48" i="4"/>
  <c r="S47" i="4"/>
  <c r="S25" i="8"/>
  <c r="S34" i="4"/>
  <c r="S35" i="4"/>
  <c r="S36" i="4" s="1"/>
  <c r="T14" i="4"/>
  <c r="T47" i="4" l="1"/>
  <c r="T48" i="4"/>
  <c r="T34" i="4"/>
  <c r="T25" i="8"/>
  <c r="T35" i="4"/>
  <c r="T36" i="4" s="1"/>
  <c r="T13" i="4"/>
  <c r="U10" i="4" s="1"/>
  <c r="U12" i="4" s="1"/>
  <c r="U11" i="4" l="1"/>
  <c r="U15" i="8" s="1"/>
  <c r="U19" i="8" s="1"/>
  <c r="U24" i="8" s="1"/>
  <c r="U14" i="4"/>
  <c r="U48" i="4" l="1"/>
  <c r="U47" i="4"/>
  <c r="U25" i="8"/>
  <c r="U34" i="4"/>
  <c r="U35" i="4"/>
  <c r="U36" i="4" s="1"/>
  <c r="U13" i="4"/>
  <c r="V10" i="4" s="1"/>
  <c r="V12" i="4" s="1"/>
  <c r="V11" i="4" l="1"/>
  <c r="V15" i="8" s="1"/>
  <c r="V19" i="8" s="1"/>
  <c r="V24" i="8" s="1"/>
  <c r="V14" i="4"/>
  <c r="V48" i="4" l="1"/>
  <c r="V47" i="4"/>
  <c r="V34" i="4"/>
  <c r="V25" i="8"/>
  <c r="V35" i="4"/>
  <c r="V36" i="4" s="1"/>
  <c r="V13" i="4"/>
  <c r="W10" i="4" s="1"/>
  <c r="W12" i="4" s="1"/>
  <c r="W11" i="4" l="1"/>
  <c r="W15" i="8" s="1"/>
  <c r="W19" i="8" s="1"/>
  <c r="W24" i="8" s="1"/>
  <c r="W14" i="4" l="1"/>
  <c r="W25" i="8"/>
  <c r="W34" i="4"/>
  <c r="W13" i="4"/>
  <c r="X10" i="4" s="1"/>
  <c r="X12" i="4" s="1"/>
  <c r="W35" i="4" l="1"/>
  <c r="W36" i="4" s="1"/>
  <c r="W48" i="4"/>
  <c r="W47" i="4"/>
  <c r="X11" i="4"/>
  <c r="X15" i="8" s="1"/>
  <c r="X19" i="8" s="1"/>
  <c r="X24" i="8" s="1"/>
  <c r="X14" i="4"/>
  <c r="X47" i="4" l="1"/>
  <c r="X48" i="4"/>
  <c r="X25" i="8"/>
  <c r="X34" i="4"/>
  <c r="X35" i="4"/>
  <c r="X36" i="4" s="1"/>
  <c r="X13" i="4"/>
  <c r="Y10" i="4" s="1"/>
  <c r="Y12" i="4" s="1"/>
  <c r="Y11" i="4" l="1"/>
  <c r="Y15" i="8" s="1"/>
  <c r="Y19" i="8" l="1"/>
  <c r="Y24" i="8" s="1"/>
  <c r="Y14" i="4"/>
  <c r="Y48" i="4" l="1"/>
  <c r="Y47" i="4"/>
  <c r="Y25" i="8"/>
  <c r="Y34" i="4"/>
  <c r="Y35" i="4"/>
  <c r="Y36" i="4" s="1"/>
  <c r="Y13" i="4"/>
  <c r="Z10" i="4" s="1"/>
  <c r="Z12" i="4" s="1"/>
  <c r="Z11" i="4" l="1"/>
  <c r="Z15" i="8" s="1"/>
  <c r="Z19" i="8" s="1"/>
  <c r="Z24" i="8" s="1"/>
  <c r="Z14" i="4"/>
  <c r="Z48" i="4" l="1"/>
  <c r="Z47" i="4"/>
  <c r="Z34" i="4"/>
  <c r="Z25" i="8"/>
  <c r="Z35" i="4"/>
  <c r="Z36" i="4" s="1"/>
  <c r="Z13" i="4"/>
  <c r="AA10" i="4" s="1"/>
  <c r="AA12" i="4" s="1"/>
  <c r="AA11" i="4" l="1"/>
  <c r="AA15" i="8" s="1"/>
  <c r="AA19" i="8" s="1"/>
  <c r="AA24" i="8" s="1"/>
  <c r="AA14" i="4"/>
  <c r="AA47" i="4" l="1"/>
  <c r="AA48" i="4"/>
  <c r="AA25" i="8"/>
  <c r="AA34" i="4"/>
  <c r="AA35" i="4"/>
  <c r="AA36" i="4" s="1"/>
  <c r="AA13" i="4"/>
  <c r="AB10" i="4" s="1"/>
  <c r="AB12" i="4" s="1"/>
  <c r="AB11" i="4" l="1"/>
  <c r="AB15" i="8" s="1"/>
  <c r="AB19" i="8" l="1"/>
  <c r="AB24" i="8" s="1"/>
  <c r="AB14" i="4"/>
  <c r="AB13" i="4"/>
  <c r="AC10" i="4" s="1"/>
  <c r="AC12" i="4" s="1"/>
  <c r="AB48" i="4" l="1"/>
  <c r="AB47" i="4"/>
  <c r="AC11" i="4"/>
  <c r="AC15" i="8" s="1"/>
  <c r="AB34" i="4"/>
  <c r="AB25" i="8"/>
  <c r="AB35" i="4"/>
  <c r="AB36" i="4" s="1"/>
  <c r="AC19" i="8" l="1"/>
  <c r="AC24" i="8" s="1"/>
  <c r="AC14" i="4"/>
  <c r="AC48" i="4" l="1"/>
  <c r="AC47" i="4"/>
  <c r="AC25" i="8"/>
  <c r="AC34" i="4"/>
  <c r="AC35" i="4"/>
  <c r="AC36" i="4" s="1"/>
  <c r="AC13" i="4"/>
  <c r="AD10" i="4" s="1"/>
  <c r="AD12" i="4" s="1"/>
  <c r="AD11" i="4" l="1"/>
  <c r="AD15" i="8" s="1"/>
  <c r="AD19" i="8" s="1"/>
  <c r="AD24" i="8" s="1"/>
  <c r="AD14" i="4"/>
  <c r="AD48" i="4" l="1"/>
  <c r="AD47" i="4"/>
  <c r="AD25" i="8"/>
  <c r="AD34" i="4"/>
  <c r="AD35" i="4"/>
  <c r="AD36" i="4" s="1"/>
  <c r="AD13" i="4"/>
  <c r="AE10" i="4" s="1"/>
  <c r="AE12" i="4" s="1"/>
  <c r="AE11" i="4" l="1"/>
  <c r="AE15" i="8" s="1"/>
  <c r="AE19" i="8" s="1"/>
  <c r="AE24" i="8" s="1"/>
  <c r="AE14" i="4"/>
  <c r="AE48" i="4" l="1"/>
  <c r="AE47" i="4"/>
  <c r="AE25" i="8"/>
  <c r="AE34" i="4"/>
  <c r="AE35" i="4"/>
  <c r="AE36" i="4" s="1"/>
  <c r="AE13" i="4"/>
  <c r="AF10" i="4" s="1"/>
  <c r="AF12" i="4" s="1"/>
  <c r="AF11" i="4" l="1"/>
  <c r="AF14" i="4" l="1"/>
  <c r="B14" i="4" s="1"/>
  <c r="AF15" i="8"/>
  <c r="AK15" i="8" s="1"/>
  <c r="B11" i="4"/>
  <c r="B12" i="4"/>
  <c r="AF13" i="4"/>
  <c r="AJ15" i="8" a="1"/>
  <c r="AJ15" i="8" s="1"/>
  <c r="AI15" i="8" a="1"/>
  <c r="AI15" i="8" s="1"/>
  <c r="AH15" i="8" a="1"/>
  <c r="AH15" i="8" s="1"/>
  <c r="AG15" i="8" a="1"/>
  <c r="AG15" i="8" s="1"/>
  <c r="B17" i="4"/>
  <c r="B22" i="4"/>
  <c r="B23" i="4" l="1"/>
  <c r="E18" i="2" s="1"/>
  <c r="E31" i="2"/>
  <c r="B31" i="2"/>
  <c r="B19" i="4"/>
  <c r="B21" i="4" s="1"/>
  <c r="B24" i="4" l="1"/>
  <c r="F25" i="7" s="1"/>
  <c r="B25" i="4"/>
  <c r="E22" i="2" s="1"/>
  <c r="B26" i="4"/>
  <c r="M20" i="2" s="1"/>
  <c r="B35" i="2"/>
  <c r="K35" i="2" s="1"/>
  <c r="B34" i="6"/>
  <c r="B33" i="2"/>
  <c r="E16" i="2"/>
  <c r="M8" i="2"/>
  <c r="B20" i="4"/>
  <c r="M24" i="2" s="1"/>
  <c r="AF18" i="8"/>
  <c r="AF19" i="8" s="1"/>
  <c r="F26" i="7" l="1"/>
  <c r="C6" i="5"/>
  <c r="C47" i="4" s="1"/>
  <c r="E21" i="2"/>
  <c r="E24" i="2" s="1"/>
  <c r="F22" i="2" s="1"/>
  <c r="D6" i="5"/>
  <c r="M25" i="2"/>
  <c r="H35" i="2"/>
  <c r="B33" i="6"/>
  <c r="B32" i="6"/>
  <c r="B35" i="6"/>
  <c r="F11" i="5"/>
  <c r="F12" i="5" s="1"/>
  <c r="AF35" i="4"/>
  <c r="C21" i="5"/>
  <c r="K13" i="2"/>
  <c r="E33" i="2"/>
  <c r="K30" i="2"/>
  <c r="E32" i="2"/>
  <c r="B32" i="2"/>
  <c r="K29" i="2"/>
  <c r="B43" i="4"/>
  <c r="B44" i="4" s="1"/>
  <c r="M9" i="2" s="1"/>
  <c r="F28" i="7"/>
  <c r="F33" i="7"/>
  <c r="B42" i="2" s="1"/>
  <c r="C34" i="5"/>
  <c r="E11" i="6"/>
  <c r="F10" i="6"/>
  <c r="C11" i="6"/>
  <c r="C10" i="6"/>
  <c r="B13" i="6"/>
  <c r="F12" i="6"/>
  <c r="C14" i="6"/>
  <c r="D13" i="6"/>
  <c r="E13" i="6"/>
  <c r="B15" i="6"/>
  <c r="E10" i="6"/>
  <c r="D10" i="6"/>
  <c r="D11" i="6"/>
  <c r="E15" i="6"/>
  <c r="B14" i="6"/>
  <c r="F15" i="6"/>
  <c r="C15" i="6"/>
  <c r="C12" i="6"/>
  <c r="F21" i="7"/>
  <c r="F22" i="7" s="1"/>
  <c r="F31" i="7" s="1"/>
  <c r="F32" i="7" s="1"/>
  <c r="F42" i="2" s="1"/>
  <c r="B12" i="6"/>
  <c r="B11" i="6"/>
  <c r="D14" i="6"/>
  <c r="B10" i="6"/>
  <c r="E14" i="6"/>
  <c r="F11" i="6"/>
  <c r="E12" i="6"/>
  <c r="D12" i="6"/>
  <c r="F14" i="6"/>
  <c r="F13" i="6"/>
  <c r="C13" i="6"/>
  <c r="D15" i="6"/>
  <c r="AG18" i="8" a="1"/>
  <c r="AG18" i="8" s="1"/>
  <c r="AI18" i="8" a="1"/>
  <c r="AI18" i="8" s="1"/>
  <c r="AK18" i="8"/>
  <c r="AJ18" i="8" a="1"/>
  <c r="AJ18" i="8" s="1"/>
  <c r="AH18" i="8" a="1"/>
  <c r="AH18" i="8" s="1"/>
  <c r="B40" i="4" l="1"/>
  <c r="K8" i="2" s="1"/>
  <c r="B41" i="4"/>
  <c r="L8" i="2" s="1"/>
  <c r="F6" i="5"/>
  <c r="C23" i="6" s="1"/>
  <c r="E25" i="2"/>
  <c r="M23" i="2" s="1"/>
  <c r="F24" i="2"/>
  <c r="F20" i="2"/>
  <c r="F18" i="2"/>
  <c r="F21" i="2"/>
  <c r="F19" i="2"/>
  <c r="F23" i="2"/>
  <c r="D21" i="5"/>
  <c r="F21" i="5" s="1"/>
  <c r="D34" i="5"/>
  <c r="L13" i="2"/>
  <c r="AF36" i="4"/>
  <c r="AG19" i="8" a="1"/>
  <c r="AG19" i="8" s="1"/>
  <c r="AF24" i="8"/>
  <c r="AF34" i="4" s="1"/>
  <c r="AK19" i="8"/>
  <c r="AJ19" i="8" a="1"/>
  <c r="AJ19" i="8" s="1"/>
  <c r="AI19" i="8" a="1"/>
  <c r="AI19" i="8" s="1"/>
  <c r="AH19" i="8" a="1"/>
  <c r="AH19" i="8" s="1"/>
  <c r="C24" i="6" l="1"/>
  <c r="F26" i="6"/>
  <c r="F23" i="6"/>
  <c r="B26" i="6"/>
  <c r="E26" i="6"/>
  <c r="B25" i="6"/>
  <c r="B24" i="6"/>
  <c r="F24" i="6"/>
  <c r="D26" i="6"/>
  <c r="D27" i="6"/>
  <c r="E24" i="6"/>
  <c r="F27" i="6"/>
  <c r="E25" i="6"/>
  <c r="B27" i="6"/>
  <c r="C27" i="6"/>
  <c r="F15" i="5"/>
  <c r="F17" i="5" s="1"/>
  <c r="F23" i="5" s="1"/>
  <c r="F26" i="5" s="1"/>
  <c r="E23" i="6"/>
  <c r="B23" i="6"/>
  <c r="D25" i="6"/>
  <c r="F25" i="6"/>
  <c r="D24" i="6"/>
  <c r="C25" i="6"/>
  <c r="C26" i="6"/>
  <c r="B39" i="4"/>
  <c r="L7" i="2" s="1"/>
  <c r="B38" i="4"/>
  <c r="K7" i="2" s="1"/>
  <c r="E27" i="6"/>
  <c r="D23" i="6"/>
  <c r="B45" i="4"/>
  <c r="K9" i="2" s="1"/>
  <c r="B46" i="4"/>
  <c r="L9" i="2" s="1"/>
  <c r="F39" i="7"/>
  <c r="F40" i="7"/>
  <c r="AG25" i="8" a="1"/>
  <c r="AG25" i="8" s="1"/>
  <c r="AK24" i="8"/>
  <c r="AJ24" i="8" a="1"/>
  <c r="AJ24" i="8" s="1"/>
  <c r="AH24" i="8" a="1"/>
  <c r="AH24" i="8" s="1"/>
  <c r="AI24" i="8" a="1"/>
  <c r="AI24" i="8" s="1"/>
  <c r="AF25" i="8"/>
  <c r="AG24" i="8" a="1"/>
  <c r="AG24" i="8" s="1"/>
  <c r="D16" i="5" l="1"/>
  <c r="C16" i="5"/>
  <c r="E16" i="5"/>
  <c r="C22" i="5"/>
  <c r="D22" i="5"/>
  <c r="E22" i="5"/>
  <c r="K33" i="2"/>
  <c r="K32" i="2"/>
  <c r="AK25" i="8"/>
  <c r="M22" i="2" s="1"/>
  <c r="C27" i="8"/>
  <c r="F16" i="5" l="1"/>
  <c r="C29" i="5"/>
  <c r="C27" i="5" s="1"/>
  <c r="F22" i="5"/>
  <c r="K31" i="2" s="1"/>
  <c r="D27" i="5" l="1"/>
  <c r="D32" i="5" s="1"/>
  <c r="D33" i="5" s="1"/>
  <c r="L14" i="2" s="1"/>
  <c r="E27" i="5"/>
  <c r="E32" i="5" s="1"/>
  <c r="E33" i="5" s="1"/>
  <c r="AF49" i="4" s="1"/>
  <c r="B53" i="4" s="1"/>
  <c r="M17" i="2" s="1"/>
  <c r="D36" i="5" l="1"/>
  <c r="L16" i="2" s="1"/>
  <c r="AF48" i="4"/>
  <c r="B52" i="4" s="1"/>
  <c r="L17" i="2" s="1"/>
  <c r="F37" i="7"/>
  <c r="F38" i="7"/>
  <c r="M14" i="2"/>
  <c r="E35" i="5"/>
  <c r="M15" i="2" s="1"/>
  <c r="Y3" i="2" s="1"/>
  <c r="E36" i="5"/>
  <c r="M16" i="2" s="1"/>
  <c r="F27" i="5"/>
  <c r="C28" i="5"/>
  <c r="F28" i="5" s="1"/>
  <c r="D35" i="5"/>
  <c r="L15" i="2" s="1"/>
  <c r="Y2" i="2" s="1"/>
  <c r="C32" i="5" l="1"/>
  <c r="F32" i="5" s="1"/>
  <c r="C33" i="5" l="1"/>
  <c r="F34" i="7" s="1"/>
  <c r="F36" i="7" s="1"/>
  <c r="E42" i="2" s="1"/>
  <c r="F39" i="5"/>
  <c r="M21" i="2" s="1"/>
  <c r="F35" i="7"/>
  <c r="D42" i="2" s="1"/>
  <c r="AF47" i="4"/>
  <c r="B51" i="4" s="1"/>
  <c r="K17" i="2" s="1"/>
  <c r="C36" i="5"/>
  <c r="K14" i="2"/>
  <c r="C35" i="5" l="1"/>
  <c r="K15" i="2" s="1"/>
  <c r="Y1" i="2" s="1"/>
  <c r="K16" i="2"/>
  <c r="B20"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<sst xmlns="http://schemas.openxmlformats.org/spreadsheetml/2006/main" count="756" uniqueCount="694">
  <si>
    <t>STACK funding engine</t>
  </si>
  <si>
    <t>Funding stack and waterfall, built as a deterministic engine you can drive and stress-test, in the same shape as the appraisal engine.</t>
  </si>
  <si>
    <t>Purpose</t>
  </si>
  <si>
    <t>The engine for STACK funding. It demonstrates the settled architecture: funding is a stack of sources plus a distribution waterfall, and every named approach is a configuration of that one structure. Built to be driven and tested, not just read.</t>
  </si>
  <si>
    <t>How the sheets layer (the engine map)</t>
  </si>
  <si>
    <t>1. Inputs</t>
  </si>
  <si>
    <t>The single source of truth. Blue cells are yours to change; green cells derive. Each input carries its basis.</t>
  </si>
  <si>
    <t>2. Cashflow</t>
  </si>
  <si>
    <t>Spreads cash uses over the programme and rolls up senior debt month by month. Interest accrues on the opening balance, so there is no circular reference. The reconciliation cell confirms cash uses are fully funded.</t>
  </si>
  <si>
    <t>3. Waterfall</t>
  </si>
  <si>
    <t>Repays senior debt, returns capital, pays the preferred return, then splits the residual with the sponsor promote. The pref accrues on capital, so it is deterministic. The reconciliation cell confirms senior plus all takes equals the NDV.</t>
  </si>
  <si>
    <t>4. Summary</t>
  </si>
  <si>
    <t>The review surface: headline outputs, funding at peak, the viability verdict, and each party outcome. Change an input and watch it move.</t>
  </si>
  <si>
    <t>5. Sensitivity</t>
  </si>
  <si>
    <t>Two grids. One tests scheme viability as GDV and build cost move. One tests the JV deal terms as the preferred return and promote move. Both re-derive live, not as native data tables.</t>
  </si>
  <si>
    <t>6. Comparison</t>
  </si>
  <si>
    <t>The same scheme funded five ways, the proof that an approach is a configuration. Finance is a transparent estimate; the JV column links the exact figures.</t>
  </si>
  <si>
    <t>Design locked in conversation</t>
  </si>
  <si>
    <t>Funding is the axis</t>
  </si>
  <si>
    <t>Funding structure changes the cashflow shape. Geography is a parametric tailoring layer on top, not a separate engine.</t>
  </si>
  <si>
    <t>Land-for-equity</t>
  </si>
  <si>
    <t>In. Land is a capital contribution at its agreed valuation, not a cash purchase. The landowner joins the waterfall, so the return is land value plus a profit share.</t>
  </si>
  <si>
    <t>Determinism</t>
  </si>
  <si>
    <t>Pref accrues on capital and the promote is on profit hurdles, not IRR hurdles, so the engine derives rather than solves. No number is invented; each traces to an input and a rule.</t>
  </si>
  <si>
    <t>Deferred to the next sub-steps</t>
  </si>
  <si>
    <t>Next</t>
  </si>
  <si>
    <t>Objective-awareness layer, then the PULSE financial-baseline handoff, then folding this into the appraisal engine to form one STACK model. Off-plan revenue timing is shown illustratively until the cashflow is extended for it.</t>
  </si>
  <si>
    <t>Conventions</t>
  </si>
  <si>
    <t>Colours</t>
  </si>
  <si>
    <t>Blue is an input you change. Green is derived or linked. Black bold is a subtotal. Amber and cream mark headline outputs and verdicts.</t>
  </si>
  <si>
    <t>House style</t>
  </si>
  <si>
    <t>UK spelling throughout. No em dashes or en dashes anywhere. The names are Flitrr, PULSE, ROUTE, STACK.</t>
  </si>
  <si>
    <t>Disclaimer</t>
  </si>
  <si>
    <t>Illustrative figures for design purposes. Not investment, financial, or valuation advice.</t>
  </si>
  <si>
    <t>Flitrr STACK | funding engine (reference model). Every figure derives from Inputs through the Cashflow and Waterfall.</t>
  </si>
  <si>
    <t>Profit on cost</t>
  </si>
  <si>
    <t>Project profit</t>
  </si>
  <si>
    <t>Funding partner multiple</t>
  </si>
  <si>
    <t>Peak senior debt</t>
  </si>
  <si>
    <t>Landowner cash out</t>
  </si>
  <si>
    <t>Senior facility limit</t>
  </si>
  <si>
    <t>Target profit on cost</t>
  </si>
  <si>
    <t>Margin vs target</t>
  </si>
  <si>
    <t>Viability verdict</t>
  </si>
  <si>
    <t>Preferred return covered</t>
  </si>
  <si>
    <t>Senior redemption from NDV</t>
  </si>
  <si>
    <t>Party</t>
  </si>
  <si>
    <t>Funding partner</t>
  </si>
  <si>
    <t>Self-funded</t>
  </si>
  <si>
    <t>Bank-financed</t>
  </si>
  <si>
    <t>Single source of truth. Blue cells are assumptions you change; everything downstream derives from here. Each input carries its basis, the trace the product will show.</t>
  </si>
  <si>
    <t>Scheme</t>
  </si>
  <si>
    <t>Gross development value (GDV)</t>
  </si>
  <si>
    <t>Sale value of the finished scheme.</t>
  </si>
  <si>
    <t>Sales costs (agent and legal)</t>
  </si>
  <si>
    <t>%</t>
  </si>
  <si>
    <t>Deducted from GDV.</t>
  </si>
  <si>
    <t>Net development value (NDV)</t>
  </si>
  <si>
    <t>Derived. What the project receives on sale.</t>
  </si>
  <si>
    <t>Construction cost</t>
  </si>
  <si>
    <t>Build cost, all elements.</t>
  </si>
  <si>
    <t>Professional fees</t>
  </si>
  <si>
    <t>Design and consultant team.</t>
  </si>
  <si>
    <t>Statutory (S106 / CIL and other)</t>
  </si>
  <si>
    <t>Planning obligations and levies.</t>
  </si>
  <si>
    <t>Acquisition and legal</t>
  </si>
  <si>
    <t>Deal and legal costs at the front.</t>
  </si>
  <si>
    <t>Land value (agreed)</t>
  </si>
  <si>
    <t>Agreed worth of the land.</t>
  </si>
  <si>
    <t>SDLT if land is purchased for cash</t>
  </si>
  <si>
    <t>Programme</t>
  </si>
  <si>
    <t>mo</t>
  </si>
  <si>
    <t>Total project length.</t>
  </si>
  <si>
    <t>Construction start month</t>
  </si>
  <si>
    <t>When build draws begin.</t>
  </si>
  <si>
    <t>Construction end month</t>
  </si>
  <si>
    <t>When build draws finish.</t>
  </si>
  <si>
    <t>Completion and sale month</t>
  </si>
  <si>
    <t>When the NDV is received.</t>
  </si>
  <si>
    <t>Funding terms</t>
  </si>
  <si>
    <t>Development management fee (% of GDV)</t>
  </si>
  <si>
    <t>Basis: typically 1.5 to 3% of GDV. Paid to the sponsor.</t>
  </si>
  <si>
    <t>Senior debt, loan to cost cap</t>
  </si>
  <si>
    <t>Senior debt, loan to GDV cap</t>
  </si>
  <si>
    <t>Senior interest rate</t>
  </si>
  <si>
    <t>% pa</t>
  </si>
  <si>
    <t>Senior arrangement fee</t>
  </si>
  <si>
    <t>Senior exit fee</t>
  </si>
  <si>
    <t>Preferred return (all equity)</t>
  </si>
  <si>
    <t>Cash equity split, funding partner</t>
  </si>
  <si>
    <t>Residual profit to capital (pro-rata)</t>
  </si>
  <si>
    <t>Target profit on cost (hurdle)</t>
  </si>
  <si>
    <t>Basis: SME hurdle 15 to 20%.</t>
  </si>
  <si>
    <t>Derived sizing</t>
  </si>
  <si>
    <t>Development management fee</t>
  </si>
  <si>
    <t>Fee in money terms.</t>
  </si>
  <si>
    <t>Cash development cost (ex land, ex SDLT)</t>
  </si>
  <si>
    <t>Core build and soft costs in cash.</t>
  </si>
  <si>
    <t>Total cash uses (ex land, incl fee)</t>
  </si>
  <si>
    <t>Cash the project spends, before finance.</t>
  </si>
  <si>
    <t>Total project cost (incl land at valuation)</t>
  </si>
  <si>
    <t>Full cost including land at value.</t>
  </si>
  <si>
    <t>Lower of the two caps binds.</t>
  </si>
  <si>
    <t>Sponsor cash equity split</t>
  </si>
  <si>
    <t>Remainder of the cash equity.</t>
  </si>
  <si>
    <t>Promote to sponsor (residual)</t>
  </si>
  <si>
    <t>Sponsor reward above the pref.</t>
  </si>
  <si>
    <t>Month</t>
  </si>
  <si>
    <t>Total</t>
  </si>
  <si>
    <t>Cost outflow (cash uses spread)</t>
  </si>
  <si>
    <t>Senior debt schedule (interest on opening balance, rolled up)</t>
  </si>
  <si>
    <t>Monthly interest rate</t>
  </si>
  <si>
    <t>Opening balance</t>
  </si>
  <si>
    <t>Interest (rolled up)</t>
  </si>
  <si>
    <t>Senior draw</t>
  </si>
  <si>
    <t>Closing balance</t>
  </si>
  <si>
    <t>Cash equity draw (gap not covered by senior)</t>
  </si>
  <si>
    <t>Funding outputs</t>
  </si>
  <si>
    <t>Senior closing balance at completion</t>
  </si>
  <si>
    <t>Drawn principal plus rolled interest.</t>
  </si>
  <si>
    <t>Repaid first from the NDV.</t>
  </si>
  <si>
    <t>Interest plus arrangement plus exit.</t>
  </si>
  <si>
    <t>Total cash equity</t>
  </si>
  <si>
    <t>Sponsor cash equity</t>
  </si>
  <si>
    <t>Funding partner cash equity</t>
  </si>
  <si>
    <t>Reconciliation: cash uses funded vs cash uses</t>
  </si>
  <si>
    <t>Should be zero.</t>
  </si>
  <si>
    <t>Capital contributed</t>
  </si>
  <si>
    <t>Sponsor</t>
  </si>
  <si>
    <t>Landowner</t>
  </si>
  <si>
    <t>Contribution type</t>
  </si>
  <si>
    <t>cash</t>
  </si>
  <si>
    <t>land at valuation</t>
  </si>
  <si>
    <t>Proceeds and senior repayment</t>
  </si>
  <si>
    <t>Proceeds available to equity</t>
  </si>
  <si>
    <t>Tier 1, return of capital (pro-rata)</t>
  </si>
  <si>
    <t>Return of capital pool</t>
  </si>
  <si>
    <t>Return of capital</t>
  </si>
  <si>
    <t>Proceeds after return of capital</t>
  </si>
  <si>
    <t>Pref accrual period</t>
  </si>
  <si>
    <t>cash mid-build; land from outset</t>
  </si>
  <si>
    <t>Preferred return accrued</t>
  </si>
  <si>
    <t>Preferred return paid</t>
  </si>
  <si>
    <t>Proceeds after pref</t>
  </si>
  <si>
    <t>Residual profit</t>
  </si>
  <si>
    <t>To capital, pro-rata</t>
  </si>
  <si>
    <t>Promote to sponsor</t>
  </si>
  <si>
    <t>Party outcomes</t>
  </si>
  <si>
    <t>Development fee (sponsor income)</t>
  </si>
  <si>
    <t>Total received from waterfall</t>
  </si>
  <si>
    <t>Total cash to party (incl fee)</t>
  </si>
  <si>
    <t>Less capital contributed</t>
  </si>
  <si>
    <t>Profit to party</t>
  </si>
  <si>
    <t>Return multiple on capital</t>
  </si>
  <si>
    <t>Reconciliation</t>
  </si>
  <si>
    <t>NDV less (senior redemption + all waterfall takes)</t>
  </si>
  <si>
    <t>Should be zero. The development fee is excluded; it is a cost already funded, not a share of proceeds.</t>
  </si>
  <si>
    <t>Grid 1: scheme viability</t>
  </si>
  <si>
    <t>Profit on cost as GDV (across) and build cost (down) move. Finance, fees, statutory and land held at the base run.</t>
  </si>
  <si>
    <t>Base GDV</t>
  </si>
  <si>
    <t>Base construction</t>
  </si>
  <si>
    <t>PoC: build (down) vs GDV (right)</t>
  </si>
  <si>
    <t>Grid 2: the JV deal terms</t>
  </si>
  <si>
    <t>Sponsor multiple as preferred return (down) and promote to sponsor (across) move. Proceeds to equity and capital held at the base run, so this isolates the split.</t>
  </si>
  <si>
    <t>Base sponsor multiple</t>
  </si>
  <si>
    <t>Mult: pref (down) vs promote (right)</t>
  </si>
  <si>
    <t>A higher pref or a smaller promote lowers the sponsor multiple. The cell at pref 10% and promote 50% is the base case.</t>
  </si>
  <si>
    <t>Comparison assumptions (transparent, editable)</t>
  </si>
  <si>
    <t>Average drawn balance factor (interest estimate)</t>
  </si>
  <si>
    <t>of facility, over the active period</t>
  </si>
  <si>
    <t>Active period for interest</t>
  </si>
  <si>
    <t>years</t>
  </si>
  <si>
    <t>Mixed: combined senior + mezzanine, loan to cost</t>
  </si>
  <si>
    <t>of cost ex finance</t>
  </si>
  <si>
    <t>Mixed: mezzanine interest rate</t>
  </si>
  <si>
    <t>Off-plan: units pre-sold</t>
  </si>
  <si>
    <t>of GDV</t>
  </si>
  <si>
    <t>Off-plan: pre-sale cash received during build</t>
  </si>
  <si>
    <t>of pre-sold value</t>
  </si>
  <si>
    <t>Off-plan: bridge rate</t>
  </si>
  <si>
    <t>Funding configuration</t>
  </si>
  <si>
    <t>Approach</t>
  </si>
  <si>
    <t>Mixed senior+mezz</t>
  </si>
  <si>
    <t>Off-plan</t>
  </si>
  <si>
    <t>Senior debt (or bridge)</t>
  </si>
  <si>
    <t>Mezzanine</t>
  </si>
  <si>
    <t>Pre-sale receipts funding the build</t>
  </si>
  <si>
    <t>Cost and finance</t>
  </si>
  <si>
    <t>Total development cost (ex finance)</t>
  </si>
  <si>
    <t>Finance / holding cost (estimate)</t>
  </si>
  <si>
    <t>Total cost (incl finance)</t>
  </si>
  <si>
    <t>Equity and total funding</t>
  </si>
  <si>
    <t>Landowner land (equity)</t>
  </si>
  <si>
    <t>Total funding committed</t>
  </si>
  <si>
    <t>Returns</t>
  </si>
  <si>
    <t>Sponsor cash in</t>
  </si>
  <si>
    <t>Sponsor total out</t>
  </si>
  <si>
    <t>Sponsor profit</t>
  </si>
  <si>
    <t>Sponsor multiple on equity</t>
  </si>
  <si>
    <t>Landowner: cash sale on most routes; land-for-equity on the JV returns land value plus a profit share.</t>
  </si>
  <si>
    <t>Note: Off-plan is shown with a simplified pre-sale model. It changes when revenue arrives, not just the funding mix, so the full engine extends the cashflow to bring pre-sale receipts in during the build. Illustrative.</t>
  </si>
  <si>
    <t>OUTPUT  |  Funding and returns summary</t>
  </si>
  <si>
    <t>OUTPUT  |  The same scheme, funded five ways</t>
  </si>
  <si>
    <t>INPUT  |  Inputs</t>
  </si>
  <si>
    <t>ENGINE  |  Distribution waterfall (JV with land-for-equity)</t>
  </si>
  <si>
    <t>ENGINE  |  Sensitivity</t>
  </si>
  <si>
    <t>Funding strategy</t>
  </si>
  <si>
    <t>Joint venture</t>
  </si>
  <si>
    <t>Choose how the scheme is funded. This is the main switch and it drives every other tab.</t>
  </si>
  <si>
    <t>Debt structure (if Debt-financed)</t>
  </si>
  <si>
    <t>Senior loan only</t>
  </si>
  <si>
    <t>JV partner contributes (if Joint venture)</t>
  </si>
  <si>
    <t>Both</t>
  </si>
  <si>
    <t>Senior debt alongside the JV? (if Joint venture)</t>
  </si>
  <si>
    <t>Yes</t>
  </si>
  <si>
    <t>Do you already own the land?</t>
  </si>
  <si>
    <t>No</t>
  </si>
  <si>
    <t>Yes means the land is your contribution at its value. No means you buy it for cash and pay SDLT.</t>
  </si>
  <si>
    <t>Project commencement date</t>
  </si>
  <si>
    <t>date</t>
  </si>
  <si>
    <t>The calendar start. Month 1 of the cashflow is this month.</t>
  </si>
  <si>
    <t>Mezzanine interest rate (if mezzanine)</t>
  </si>
  <si>
    <t>Strategy switches (derived, read only)</t>
  </si>
  <si>
    <t>Use senior debt</t>
  </si>
  <si>
    <t>Derived from your selections.</t>
  </si>
  <si>
    <t>Use mezzanine</t>
  </si>
  <si>
    <t>Partner provides cash</t>
  </si>
  <si>
    <t>Partner provides land</t>
  </si>
  <si>
    <t>Land treated as contributed equity</t>
  </si>
  <si>
    <t>Land joins the waterfall as equity, rather than being bought for cash.</t>
  </si>
  <si>
    <t>Land is a cash purchase (plus SDLT)</t>
  </si>
  <si>
    <t>Land and SDLT become a cash cost funded by debt or equity.</t>
  </si>
  <si>
    <t>Funding partner cash split (effective)</t>
  </si>
  <si>
    <t>Share of cash equity the partner funds. Zero unless a Joint venture with cash.</t>
  </si>
  <si>
    <t>Preferred return and promote active</t>
  </si>
  <si>
    <t>Preferred return and promote apply on the Joint venture route only.</t>
  </si>
  <si>
    <t>ENGINE  |  Senior debt schedule and funding stack</t>
  </si>
  <si>
    <t>OUTPUT  |  Cashflow by phase and month</t>
  </si>
  <si>
    <t>Phase</t>
  </si>
  <si>
    <t>Line item</t>
  </si>
  <si>
    <t>Project total</t>
  </si>
  <si>
    <t>Acquisition</t>
  </si>
  <si>
    <t>Land (at value)</t>
  </si>
  <si>
    <t>Stamp duty (SDLT)</t>
  </si>
  <si>
    <t>Acquisition subtotal</t>
  </si>
  <si>
    <t>Design and pre-construction</t>
  </si>
  <si>
    <t>Design and pre-construction subtotal</t>
  </si>
  <si>
    <t>Construction</t>
  </si>
  <si>
    <t>Statutory (S106 and CIL)</t>
  </si>
  <si>
    <t>Construction subtotal</t>
  </si>
  <si>
    <t>Finance</t>
  </si>
  <si>
    <t>Senior interest (rolled up)</t>
  </si>
  <si>
    <t>Mezzanine interest</t>
  </si>
  <si>
    <t>Arrangement fee</t>
  </si>
  <si>
    <t>Exit fee</t>
  </si>
  <si>
    <t>Sales and disposal</t>
  </si>
  <si>
    <t>Gross development value</t>
  </si>
  <si>
    <t>Sales costs</t>
  </si>
  <si>
    <t>Sales and disposal subtotal</t>
  </si>
  <si>
    <t>Net movement</t>
  </si>
  <si>
    <t>Cumulative cash position</t>
  </si>
  <si>
    <t>Peak funding requirement</t>
  </si>
  <si>
    <t>Mezzanine combined loan to cost (if mezzanine)</t>
  </si>
  <si>
    <t>Mezzanine facility</t>
  </si>
  <si>
    <t>Mezzanine interest (rolled up)</t>
  </si>
  <si>
    <t>Mezzanine redemption from NDV</t>
  </si>
  <si>
    <t>Strategy</t>
  </si>
  <si>
    <t>Return on cash</t>
  </si>
  <si>
    <t>Trade-off</t>
  </si>
  <si>
    <t>Turn #</t>
  </si>
  <si>
    <t>Date</t>
  </si>
  <si>
    <t>User Request</t>
  </si>
  <si>
    <t>Action Taken</t>
  </si>
  <si>
    <t>Details</t>
  </si>
  <si>
    <t>Outcome</t>
  </si>
  <si>
    <t>Turn the STACK funding model into a tool a non-financial developer can drive: bucket tab colours, a guided single Input tab with a funding-strategy selector, a restructured output Cashflow, a strategy-driven engine, a Summary verdict and 5-way comparison, and full protection.</t>
  </si>
  <si>
    <t>Completed all four passes.</t>
  </si>
  <si>
    <t>Tab colours (Input yellow, Output green, Engine red) + bucket banners. Inputs: inserted Funding strategy selector, follow-on dropdowns, own-land Yes/No, commencement date, mezzanine inputs, derived switches, tooltips on every input, and conditional greying of not-required inputs. Split the monthly senior schedule to a red Engine tab and rebuilt Cashflow as a phase by calendar-month grid with year subtotals, net movement and cumulative position. Made senior, mezzanine, partner, land and the waterfall strategy-driven (unused sources to zero, waterfall collapses to all-to-developer with no partner). Added Summary plain-English headline, gentle margin flag and a 5-way funding snapshot. Locked all but the yellow input cells and protected sheets + structure with password STACK.</t>
  </si>
  <si>
    <t>All routes reconcile (Engine!B26=0, Waterfall!F39=0); Cashflow cumulative ties to project profit; workbook protected.</t>
  </si>
  <si>
    <t>Cashflow by phase</t>
  </si>
  <si>
    <t>Months (from commencement date)</t>
  </si>
  <si>
    <t>Calendar-year subtotals</t>
  </si>
  <si>
    <t>Cashflow tab needed headlines: add a horizontal section header across the column groups (a Months band as the example).</t>
  </si>
  <si>
    <t>Added a horizontal section-header band to the Cashflow output.</t>
  </si>
  <si>
    <t>Unprotected Cashflow, inserted a band row above the date header (now row 4): merged labels 'Cashflow by phase' over A:B, 'Months (from commencement date)' over month columns C:AF, 'Calendar-year subtotals' over AG:AJ, 'Total' over AK, navy fill white bold. Re-froze at C5 so the band and month labels stay visible; re-protected with STACK.</t>
  </si>
  <si>
    <t>Band renders; date headers intact (Jul 26 onwards); net movement and cumulative still tie to project profit (£614,633); Engine!B26 reconciliation = 0.</t>
  </si>
  <si>
    <t>On Cashflow, frozen rows 1-4 and columns A-B were not showing; the freeze (5/C) had scrolled out of view.</t>
  </si>
  <si>
    <t>Reset the Cashflow view and re-applied the freeze.</t>
  </si>
  <si>
    <t>Unprotected Cashflow, cleared the freeze, scrolled to A1 (top-left), re-froze 4 rows and 2 columns (freeze region A1:B4), set the cursor to C5, re-protected with STACK.</t>
  </si>
  <si>
    <t>Freeze confirmed at A1:B4; the banner, subtitle, Months band and date headers (rows 1-4) plus the Phase and Line item columns (A-B) are pinned and visible.</t>
  </si>
  <si>
    <t>Make the Inputs tab user interface more presentable and user-friendly, as far as Excel allows.</t>
  </si>
  <si>
    <t>Restyled the Inputs tab into a clean, form-like layout.</t>
  </si>
  <si>
    <t>Hid gridlines; unified Arial fonts and sizes; consistent navy section bands; yellow editable cells with blue figures, grey calculated cells, soft grey italic single-line guidance notes; centred units; tidied column widths and row heights; added a 'type only in the yellow cells' hint; froze the title rows. No formulas or wiring changed; conditional greying, dropdowns and tooltips preserved.</t>
  </si>
  <si>
    <t>Inputs reads as a clean form; gridlines off, freeze at rows 1-2; reconciliations still 0; C5 editable, C25 locked; tab re-protected with STACK.</t>
  </si>
  <si>
    <t>Asked how to unlock and re-lock the protected sheets so they can adjust text wrapping themselves across this and other tabs.</t>
  </si>
  <si>
    <t>Provided unlock/re-lock instructions (no workbook edits made).</t>
  </si>
  <si>
    <t>Explained Review &gt; Unprotect Sheet with password STACK per tab; workbook structure only needs unlocking to add/move/delete/rename sheets; wrap via Home &gt; Wrap Text then AutoFit Row Height; re-lock via Review &gt; Protect Sheet (password STACK, default tick-boxes) and Protect Workbook. Noted per-cell lock states persist so yellow inputs stay editable.</t>
  </si>
  <si>
    <t>Guidance given; offered to do the wrapping pass and re-protect myself if preferred.</t>
  </si>
  <si>
    <t>PROJECT REFERENCE (to resume this build in a new session)</t>
  </si>
  <si>
    <t>Workbook</t>
  </si>
  <si>
    <t>STACK_Funding_Engine_Final.xlsx. A deterministic property development funding engine. The developer types only on the Inputs tab; every other tab computes and is read only. No circular references anywhere.</t>
  </si>
  <si>
    <t>Tab buckets and colours</t>
  </si>
  <si>
    <t>Input (yellow tab): Inputs. Output (green tabs): Summary, Cashflow, Comparison. Engine (red tabs): Waterfall, Sensitivity, Engine. Read Me is a plain cover. Claude Log (grey) is this journal and is left unprotected.</t>
  </si>
  <si>
    <t>Inputs tab layout</t>
  </si>
  <si>
    <t>The only tab you type on. Section bands at rows 4 Funding strategy, 12 Strategy switches, 22 Scheme, 37 Funding terms, 49 Derived sizing. Yellow cells are editable, grey cells are calculated and locked. Every input has a dropdown or tooltip; inputs a route does not need go grey with a Not required note.</t>
  </si>
  <si>
    <t>Funding strategy selector</t>
  </si>
  <si>
    <t>Inputs C5 dropdown: Self-funded, Debt-financed, Joint venture, Off-plan. Follow-ons: C6 debt structure (Senior loan only or Senior plus mezzanine), C7 JV partner contributes (Cash, Land or Both), C8 senior alongside the JV (Yes or No), C9 do you already own the land (Yes or No), C10 commencement date, C11 mezzanine rate, C21 mezzanine combined loan to cost.</t>
  </si>
  <si>
    <t>Derived switches, Inputs C13 to C20</t>
  </si>
  <si>
    <t>C13 use senior, C14 use mezzanine, C15 partner provides cash, C16 partner provides land, C17 land treated as contributed equity, C18 land is a cash purchase, C19 effective partner cash split, C20 preferred return and promote active. They turn the dropdown choices into 1 or 0 drivers for the engine.</t>
  </si>
  <si>
    <t>Key input cell addresses</t>
  </si>
  <si>
    <t>Derived sizing, Inputs</t>
  </si>
  <si>
    <t>Development management fee C50, cash development cost C51, total cash uses C52 = C51 plus C50 plus C18 times (C30 plus C31), total project cost C53 = C52 plus C17 times C30, senior facility C54 = C13 times MIN(C39 times C53, C40 times C23), sponsor cash split C55, promote C56.</t>
  </si>
  <si>
    <t>Engine tab (red)</t>
  </si>
  <si>
    <t>Cashflow tab (green output)</t>
  </si>
  <si>
    <t>Waterfall tab (red engine)</t>
  </si>
  <si>
    <t>Summary tab (green output)</t>
  </si>
  <si>
    <t>Comparison tab (green output)</t>
  </si>
  <si>
    <t>How the strategy drives results</t>
  </si>
  <si>
    <t>Sources a route does not use fall to zero (senior through use senior, mezzanine through use mezzanine). With no partner the waterfall collapses to all profit to the sponsor. Contributed land (you own it, or the partner brings it) enters the waterfall at value; otherwise the land is a cash purchase plus SDLT. Preferred return and promote apply to the Joint venture route only.</t>
  </si>
  <si>
    <t>Mezzanine and off-plan</t>
  </si>
  <si>
    <t>Reconciliation cells, must read 0</t>
  </si>
  <si>
    <t>Engine B26 checks cash uses funded equals cash uses. Waterfall F39 checks net development value equals senior plus mezzanine redemption plus all distributions. Both read 0 across all seven route variations, and the Cashflow cumulative ties to the Summary profit.</t>
  </si>
  <si>
    <t>Protection</t>
  </si>
  <si>
    <t>House rules</t>
  </si>
  <si>
    <t>Base case</t>
  </si>
  <si>
    <t>Joint venture plus land-for-equity with senior debt. Project profit about 614,633 pounds, profit on cost 19.5%, which is below the 20% target. Commencement 01 Jul 2026, 30-month programme.</t>
  </si>
  <si>
    <t>History and open items</t>
  </si>
  <si>
    <t>Asked to detail the full project history in the log so it can be referenced and resumed in a new session.</t>
  </si>
  <si>
    <t>Added a full PROJECT REFERENCE handoff section to the Claude Log.</t>
  </si>
  <si>
    <t>Below the turn log (rows 9 to 29): workbook purpose, tab buckets and colours, Inputs layout and key cell addresses, derived switches, Engine/Cashflow/Waterfall/Summary/Comparison roles, how the strategy drives results, mezzanine and off-plan treatment, reconciliation cells, determinism, protection and password, house rules, base case, and history with open items.</t>
  </si>
  <si>
    <t>Claude Log is now a self-contained handoff; reconciliations unchanged (Engine!B26=0, Waterfall!F39=0).</t>
  </si>
  <si>
    <t>Asked for a full review of the workbook and the Claude Log to understand what the STACK funding model is and why it was built, ahead of stepping through external RE modelling templates to benchmark and improve STACK.</t>
  </si>
  <si>
    <t>Read every tab (Read Me, Inputs, Engine, Cashflow, Waterfall, Summary, Sensitivity, Comparison) and the Claude Log handoff section; summarised architecture, mechanics and reconciliation state back to the user.</t>
  </si>
  <si>
    <t>Confirmed: deterministic funding engine, Inputs the only editable tab, no circular references. Base case JV plus land-for-equity, profit about 614,633 pounds, PoC 19.5% vs 20% target. Reconciliations read 0 (Engine!B26, Waterfall!F39). Noted self-flagged gaps for the benchmarking pass: funding engine not a full appraisal, single revenue receipt at completion, off-plan pre-sale timing illustrative, no time-based IRR by design, deferred PULSE baseline handoff and fold into the appraisal engine.</t>
  </si>
  <si>
    <t>Review complete; awaiting the first external template to benchmark STACK against.</t>
  </si>
  <si>
    <t>Benchmark STACK against the first external template: Original-Apartment-Acquisition-Model-v2.5.xlsx (received from the connected Excel model).</t>
  </si>
  <si>
    <t>Reviewed the apartment model's structure, returns logic, debt and waterfall via a shared overview file; produced a side-by-side comparison and a prioritised list of improvement candidates for STACK.</t>
  </si>
  <si>
    <t>Apartment model = US multifamily value-add ACQUISITION model: annual over 10-15yr hold, monthly lease-up modules roll into Annual Cash Flow, levered+unlevered IRR/EM, LP/GP promote waterfall with IRR or EM hurdles, debt sized on LTV with amortisation (PMT/-PV), DSCR and debt yield, triangular hold-period IRR/EM matrix, purchase-price-method toggle. STACK = UK ground-up DEVELOPMENT funding engine: monthly 30mo, deterministic, profit-on-cost not IRR, funding stack + 3-party land-for-equity waterfall, 5 funding configurations. Top improvement candidates flagged: (1) add time-based project and per-route IRR + equity multiple over the existing monthly cashflow; (2) credit-metrics block (peak LTC/LTGDV drawn, interest cover, profit-on-GDV); (3) IRR-vs-EM hurdle toggle in waterfall; (4) phased sales absorption modelled on the lease-up rollup, for off-plan.</t>
  </si>
  <si>
    <t>Comparison delivered to user; no model changes yet, awaiting direction on which enhancements to action.</t>
  </si>
  <si>
    <t>TIME-BASED RETURNS (live, selected route)</t>
  </si>
  <si>
    <t>Month date</t>
  </si>
  <si>
    <t>Project net cash flow (unlevered, ex finance)</t>
  </si>
  <si>
    <t>Equity net cash flow (levered)</t>
  </si>
  <si>
    <t>Project IRR (unlevered, p.a.)</t>
  </si>
  <si>
    <t>Project equity multiple (unlevered)</t>
  </si>
  <si>
    <t>Equity IRR (levered, p.a.)</t>
  </si>
  <si>
    <t>Equity multiple (levered, whole project)</t>
  </si>
  <si>
    <t>Equity multiple (whole project)</t>
  </si>
  <si>
    <t>Equity IRR (annual)</t>
  </si>
  <si>
    <t>Equity multiple is whole-project (all equity: sponsor, partner and contributed land). Equity IRR for the selected route links the live monthly XIRR (column F); the other routes annualise the multiple over the programme as closed-form estimates.</t>
  </si>
  <si>
    <t>Action benchmark improvement 1 from the apartment-model comparison: add time-based IRR and equity multiple, and test the model so STACK is not weakened.</t>
  </si>
  <si>
    <t>Built a live time-based returns block on Engine, surfaced it on Summary, added per-route equity multiple and IRR on Comparison, tested across all four funding routes, and fixed an IRR convergence bug found during testing.</t>
  </si>
  <si>
    <t>Engine rows 32-41: monthly dated vectors. Project (unlevered) cash flow = Cashflow net movement excluding finance (C24-C19); Equity (levered) cash flow = cash-equity draws (row 14) plus contributed land in month 1 plus the completion distribution (NDV less senior and mezz redemption). These feed Project IRR/EM (B38/B39) and Equity IRR/EM (B40/B41). Initially used XIRR; testing showed XIRR returned about 0% for the Debt-financed and Off-plan routes (equity drawn late, single terminal inflow), so switched both IRR cells to an annualised periodic IRR =(1+IRR(range,0.02))^12-1, which is correct on the regular monthly dates and stable across all routes. Summary block rows 34-37 link the live figures (green). Comparison rows 39-40: whole-project equity multiple for all five routes (rigorous), and equity IRR with column F live and the four closed-form routes annualised from the multiple over the programme (labelled as estimates), caveat note row 41. New cells locked; Engine, Summary, Comparison re-protected with STACK.</t>
  </si>
  <si>
    <t>All reconciliations read 0 across all four routes (Engine!B26, Waterfall!F39); Cashflow cumulative still ties to project profit (614,633 pounds). Base case JV: Project IRR 20.9%, Equity IRR 32.3%, Equity multiple 1.49x. Sheets re-protected; base case restored.</t>
  </si>
  <si>
    <t>Limit (LTC)</t>
  </si>
  <si>
    <t>Limit (LTGDV)</t>
  </si>
  <si>
    <t>Profit on GDV (margin)</t>
  </si>
  <si>
    <t>Finance cost / GDV</t>
  </si>
  <si>
    <t>Profit cover of finance</t>
  </si>
  <si>
    <t>Proceed with benchmark improvement 2 from the apartment-model comparison: add a credit and margin metrics block (the development analogue to the apartment model's DSCR and debt-yield guardrails).</t>
  </si>
  <si>
    <t>Added a live, route-aware Credit &amp; margin metrics block to the Summary tab, with error guards, and tested it across all four funding routes; caught and fixed a profit-on-cost denominator inconsistency during testing.</t>
  </si>
  <si>
    <t>Summary rows 39-45 (new section, locked, green cross-sheet links). Metrics: Senior loan-to-cost = sized facility / cost ex finance (Inputs C54/C53) with the 60% limit; Senior loan-to-GDV (C54/C23) with the 55% limit; Peak senior exposure incl. rolled interest (Engine B22) and as % of GDV; Profit on cost (linked to existing headline B5 for consistency); Profit on GDV (margin); Finance cost / GDV; Profit cover of finance (profit / finance cost), all wrapped in IFERROR. Initially computed profit on cost as B6/C53 (ex finance) which gave 21.2% and disagreed with the model headline 19.5% (the model uses all-in cost incl finance); fixed by linking B43 to B5. Zero-debt guard verified on the self-funded route (finance cover shows n/a, leverage shows dashes).</t>
  </si>
  <si>
    <t>All four routes reconcile (Engine!B26=0, Waterfall!F39=0). Base JV: LTC 60.0% (binding) vs LTGDV 45.1% (cap 55%), peak exposure 1,856,987 pounds (48.2% of GDV), profit on GDV 16.0%, finance cost 6.9% of GDV, profit cover 2.3x. Self-funded n/a guard works. Base case restored to Joint venture; Summary and Inputs re-protected with STACK.</t>
  </si>
  <si>
    <t>JV promote hurdle (optional test)</t>
  </si>
  <si>
    <t>Promote hurdle basis (JV)</t>
  </si>
  <si>
    <t>Preferred return</t>
  </si>
  <si>
    <t>Test basis for the JV promote hurdle. Preferred return uses the preferred return rate above; Equity multiple uses the multiple hurdle below.</t>
  </si>
  <si>
    <t>Equity multiple hurdle</t>
  </si>
  <si>
    <t>x</t>
  </si>
  <si>
    <t>Partner and landowner must reach this multiple on their capital before the sponsor promote applies. Used only when the basis is Equity multiple.</t>
  </si>
  <si>
    <t>Equity multiple</t>
  </si>
  <si>
    <t>Proceed with benchmark improvement 3: an IRR-vs-equity-multiple hurdle toggle in the JV waterfall, mirroring the apartment model's hurdle switch, kept deterministic.</t>
  </si>
  <si>
    <t>Added a JV promote hurdle-basis toggle and an equity-multiple hurdle input on Inputs, wired the Waterfall Tier 2 preferred-return accrual to switch between the two bases, made the tier header live, and tested both bases and a non-JV route.</t>
  </si>
  <si>
    <t>Inputs rows 58-60 (appended, no row inserts, so all documented addresses C44/C53/C54/C56 stay put): banded sub-section 'JV promote hurdle (optional test)'; C59 dropdown 'Preferred return / Equity multiple' (default Preferred return so base case is unchanged); C60 equity multiple hurdle 1.30x; conditional greying when not JV (Inputs C20=0); both cells unlocked. Waterfall C21/D21/E21 changed from =Inputs!C20*cap*((1+C44)^period-1) to wrap the factor in IF(Inputs!C59="Equity multiple",(Inputs!C60-1),((1+C44)^period-1)); deterministic (computed on contributed capital, no IRR solve). A19 header now live ="Tier 2, return hurdle ("&amp;Inputs!C59&amp;")". Total to equity is fixed at F12, so the toggle only reallocates between pref (pro-rata to all parties) and promote (sponsor only).</t>
  </si>
  <si>
    <t>Tested: JV+Equity multiple (1.30x) lifts pref pool to 377,030 pounds, cuts sponsor promote to 118,801, sponsor multiple 2.51x to 2.29x, partner/landowner to 1.39x; JV+Preferred return restores base (pref 220,851, promote 196,891, sponsor 2.51x); Self-funded shows no effect (pref 0). All states reconcile (Waterfall!F39=0, Engine!B26=0). Base case restored; Inputs and Waterfall re-protected with STACK.</t>
  </si>
  <si>
    <t>OFF-PLAN PRE-SALES (optional)</t>
  </si>
  <si>
    <t>Model pre-sales</t>
  </si>
  <si>
    <t>Turn on to fund construction with pre-sale receipts during the build. Reduces the senior balance and rolled-up interest. Default No leaves the base case unchanged.</t>
  </si>
  <si>
    <t>Pre-sale proportion of NDV</t>
  </si>
  <si>
    <t>Share of net sales received in stages across construction. Each month is capped at that month's cost; any surplus completes at the end.</t>
  </si>
  <si>
    <t>Pre-sale receipts (applied)</t>
  </si>
  <si>
    <t>Pre-sale debt reduction (total)</t>
  </si>
  <si>
    <t>Less senior, mezzanine and pre-sale debt reduction</t>
  </si>
  <si>
    <t>Proceed with benchmark improvement 4 (full depth): model off-plan pre-sales so pre-sale cash funds the build, cuts rolled-up interest and lifts profit, gated and tested. User chose the full financing integration over timing-only.</t>
  </si>
  <si>
    <t>Added an off-plan pre-sales switch and proportion on Inputs; wired the Engine so pre-sale receipts reduce the monthly senior draw (lower balance, lower interest); updated the Waterfall and the equity IRR vector for the pre-sale debt reduction; re-timed the Cashflow sales into the construction period; tested off vs on across routes.</t>
  </si>
  <si>
    <t>Inputs rows 62-64 (appended, no address shift): switch C63 (Yes/No, default No so base case unchanged) and C64 pre-sale proportion of NDV (50%), greyed when off. Engine: row6 pre-sale applied = active x prop x NDV spread over construction, capped at each month's cost; row12 draw =MIN(MAX(0,cost-presale),headroom); row14 equity =MAX(0,cost-presale)-draw; row13 closing unchanged so balance and interest fall; B30 = total pre-sale reduction; B26 reconciliation adds B30. Waterfall F11/F39 subtract Engine B30. Engine equity-CF (row35) completion term changed to NDV-B30-B20-B29 to stay consistent. Cashflow row20/21 recognise pre-sale GDV (Engine row6 grossed up) during construction with the remainder at completion; net movement and finance (lower interest) flow through. All formulas reduce exactly to the originals when the switch is off.</t>
  </si>
  <si>
    <t>Tested off vs on, JV and Self-funded. Base/off byte-identical and restored. JV at 50%: profit 614,633 to 789,509 = +174,876 = exactly the interest saved (264,676 to 89,800); Project IRR 20.9% to 38.2%, Equity multiple 1.49x to 2.50x. Self-funded: profit unchanged (no debt, nothing to save), IRR still improves on earlier cash. Every state reconciles (Engine!B26=0, Waterfall!F39=0) and the Cashflow cumulative ties to profit. Base case restored (pre-sales off, Joint venture); Inputs, Engine, Waterfall, Cashflow re-protected with STACK.</t>
  </si>
  <si>
    <t>Appraisal cashflow by phase down the side and calendar month across. Row 3 section band, row 4 month dates derived from the commencement date Inputs C10. Phases: Acquisition, Design and pre-construction, Construction, Finance, Sales and disposal. Calendar-year subtotal columns AG to AJ, project total AK. Net movement and cumulative cash position at the foot; the cumulative ends at project profit. Frozen at A1 to B4. When off-plan pre-sales are on, sales (rows 20 and 21) are recognised across construction with the balance at completion, so the cumulative shows a lower peak funding need and still ends at project profit.</t>
  </si>
  <si>
    <t>The five strategies side by side. Columns C, D, E and G (Self-funded, Bank-financed, Mixed, Off-plan) are independent closed-form estimates. Column F links the exact engine and follows the route selected on Inputs; its header F14 updates to the selected route. Two added rows: whole-project equity multiple for all five routes, and equity IRR (column F live, the four closed-form routes annualised from the multiple over the programme).</t>
  </si>
  <si>
    <t>Mezzanine is a closed-form tranche: facility = use mezzanine times MAX(0, combined loan to cost times cost minus senior), with interest rolled up, consistent with the Comparison estimate. Off-plan is now fully modelled: turning on pre-sales (Inputs C63) funds construction with staged pre-sale receipts capped at each month's cost, cutting the senior balance and rolled-up interest, so profit rises by exactly the interest saved. Default is off, leaving the base case unchanged.</t>
  </si>
  <si>
    <t>Confirm whether the PROJECT REFERENCE handoff section had been updated for the four new features, and update it before moving on.</t>
  </si>
  <si>
    <t>Confirmed it had not been updated, then refreshed the PROJECT REFERENCE section to document all four additions.</t>
  </si>
  <si>
    <t>Updated reference cells: key input addresses (added C59/C60 hurdle toggle, C63/C64 pre-sales); Engine (row 6 pre-sale, B30, B26 includes B30, IRR/EM block rows 32-41); Cashflow (sales phased across construction when pre-sales on); Waterfall (Tier 2 hurdle-basis toggle, F11/F39 net off B30); Summary (time-based returns block 34-37, credit and margin metrics 39-45); Comparison (whole-project equity multiple + equity IRR rows); off-plan now fully modelled not illustrative; determinism note; protection unlocked-cells list (added C59-C60, C63-C64); history note covering the four improvements.</t>
  </si>
  <si>
    <t>PROJECT REFERENCE now reflects the current build; a future session can resume cleanly. No model values changed this turn; reconciliations remain 0 (Engine!B26, Waterfall!F39).</t>
  </si>
  <si>
    <t>Review the second benchmark template (Single-Family-Property-Investment-Model.pdf, Profit Vision) and identify anything that could add to the STACK offering. Templates now arrive as PDFs.</t>
  </si>
  <si>
    <t>OCR'd the image-based PDF (10 pages), summarised its structure, benchmarked it against STACK, and gave a prioritised list of new ideas. No model changes.</t>
  </si>
  <si>
    <t>Template = US single-family buy-hold-sell rental model: 10-year hold, acquisition + renovation then operations; two loans with a refinance at month 30 (acquisition loan to permanent loan) and cash-out equity proceeds; after-tax and pre-tax IRR/MOIC (income tax rate); operating build (rent, free rent, vacancy, EGR, opex, NOI, capex), cash-on-cash; yield-driven valuation (acquisition and exit cap rates); two-tier LP/GP waterfall (90/10, 8% cumulative pref, then 40/60). Already in STACK (no action): unlevered/levered IRR, MOIC/equity multiple, pref + promote waterfall with hurdle toggle. New ideas flagged: (1) tax layer for after-tax profit and IRR (recommended, self-contained); (2) refinance / develop-to-hold (develop-to-rent) exit option (larger); (3) interim cash-on-cash yield (only if a hold is modelled, low priority).</t>
  </si>
  <si>
    <t>Benchmark delivered; awaiting steer on whether to action item 1 (after-tax returns) or review the next template. No reconciliations affected (no model changes).</t>
  </si>
  <si>
    <t>TAX (after-tax returns)</t>
  </si>
  <si>
    <t>Corporation tax rate</t>
  </si>
  <si>
    <t>UK corporation tax on project profit, after finance costs (which are deductible). Drives the after-tax returns on the Summary. Set 0% to ignore tax; pre-tax figures are never affected.</t>
  </si>
  <si>
    <t>After-tax equity net cash flow</t>
  </si>
  <si>
    <t>Corporation tax (on project profit)</t>
  </si>
  <si>
    <t>After-tax project profit</t>
  </si>
  <si>
    <t>After-tax equity IRR (p.a.)</t>
  </si>
  <si>
    <t>Action improvement 1 from the single-family template: add an after-tax tax layer (corporation tax, after-tax profit and IRR), additive so pre-tax outputs and reconciliations are untouched.</t>
  </si>
  <si>
    <t>Added a corporation tax rate input, computed tax and after-tax profit and after-tax equity IRR/multiple on the Engine, surfaced an after-tax returns block on the Summary, and tested across tax rates and routes.</t>
  </si>
  <si>
    <t>Inputs rows 66-67 (appended, no address shift): corporation tax rate C67 (default 25%, unlocked). Engine: B43 tax = MAX(0, Summary B6 pre-tax profit) x rate; B44 after-tax profit; row36 after-tax equity cash flow = equity CF less tax at completion; B45 after-tax equity IRR (annualised monthly IRR); B46 after-tax equity multiple. Summary rows 47-51: after-tax returns block (tax rate, tax amount, after-tax profit, after-tax profit on cost, after-tax equity IRR and multiple), green live links. Tax is charged on profit after finance costs (deductible) as a completion cash outflow; it is an analytical overlay and does not change the waterfall distribution mechanics or any pre-tax figure.</t>
  </si>
  <si>
    <t>Tested: tax 0% reproduces pre-tax exactly (profit 614,633, equity IRR 32.3%, EM 1.49x); at 25% JV after-tax profit 460,975, equity IRR 25.0%, EM 1.37x; Self-funded after-tax IRR 15.2%. Pre-tax outputs unchanged at every tax setting; all states reconcile (Engine!B26=0, Waterfall!F39=0). Base restored to Joint venture, tax 25%; Inputs, Engine, Summary re-protected with STACK.</t>
  </si>
  <si>
    <t>Asked to move on to the next benchmark template.</t>
  </si>
  <si>
    <t>Confirmed readiness; no new file was attached yet, so asked the user to upload the next template (PDF). Gave a recap of STACK's current capabilities for benchmarking.</t>
  </si>
  <si>
    <t>No model changes. STACK now includes: time-based project and equity IRR plus equity multiple; credit and margin metrics; IRR-vs-equity-multiple hurdle toggle; full off-plan pre-sales; and an after-tax returns layer. All gated or additive with the base case unchanged.</t>
  </si>
  <si>
    <t>Awaiting the next template upload. Reconciliations unaffected (Engine!B26=0, Waterfall!F39=0).</t>
  </si>
  <si>
    <t>Review the third benchmark template (Real-Estate-Private-Equity-Fund.pdf, Profit Vision) and flag anything that could add to STACK.</t>
  </si>
  <si>
    <t>OCR'd the 13-page image PDF, summarised the fund model, benchmarked against STACK, and gave a prioritised list. No model changes.</t>
  </si>
  <si>
    <t>Template = multi-property real estate PE FUND: 20 staggered acquisitions, 7-year holds, growth-driven exits; per-property initial financing plus refinancing; operating layer (occupancy ramp, rent and increases, vacancy, opex, capex, NOI); fund overlay (setup cost, management fee 2% of invested equity, admin 3%, acquisition/disposition fees); full LP/GP waterfall (90/10, 8% LP preferred, GP catch-up to 20%, carried interest); returns at four levels (Portfolio 64% IRR/12.6x, Fund 35%/5.2x, LP 29%/4.0x, GP 37%/5.6x). Already in STACK: unlevered/levered IRR, MOIC/equity multiple, pref + promote with hurdle toggle, after-tax (refinance and operating hold already flagged earlier). New ideas: (1) GP catch-up tier in the waterfall (recommended, self-contained, pref to catch-up to carry); (2) fund-level fees layer (management fee on equity, setup, admin); (3) portfolio / multi-scheme roll-up to a fund or programme level (major architectural build).</t>
  </si>
  <si>
    <t>Benchmark delivered; recommended actioning item 1 (GP catch-up tier) next. No model changes; reconciliations unaffected (Engine!B26=0, Waterfall!F39=0).</t>
  </si>
  <si>
    <t>GP CATCH-UP AND CARRY (JV, optional)</t>
  </si>
  <si>
    <t>Use GP catch-up and carry</t>
  </si>
  <si>
    <t>Turn on to replace the simple residual split with an institutional pref then GP catch-up then carry. Default No keeps the existing residual-to-capital plus sponsor promote. JV routes only.</t>
  </si>
  <si>
    <t>Carried interest (GP carry)</t>
  </si>
  <si>
    <t>GP share of profit above the preferred return. With a 100% catch-up, the GP receives all residual after pref until it reaches this share of the profit above capital, then the split runs at this carry.</t>
  </si>
  <si>
    <t>of which GP catch-up (memo)</t>
  </si>
  <si>
    <t>Action improvement 1 from the RE PE Fund template: add an optional GP catch-up and carry tier to the JV waterfall (institutional pref then catch-up then carry), gated and tested.</t>
  </si>
  <si>
    <t>Added a catch-up switch and carry input on Inputs, branched the Waterfall Tier 3 to a catch-up-and-carry structure when on, added a catch-up memo line and a live tier header, and tested off vs on across routes.</t>
  </si>
  <si>
    <t>Inputs rows 69-71 (appended, no address shift): switch C70 (Yes/No, default No so base case unchanged) and carried interest C71 (20%), greyed when not JV or when off. Waterfall: C29 memo = GP catch-up = IF(on, MIN(F26, carry/(1-carry) x LP pref (D22+E22)), 0); Tier 3 to-capital (C27/D27/E27) and sponsor extra (C28) branch on the switch: on = 100% catch-up to sponsor then carry split of the remainder, off = existing residual-to-capital (C46) plus sponsor promote (C56). A25 header is live. Only reallocates the residual F26, so totals and reconciliations are unchanged.</t>
  </si>
  <si>
    <t>Tested: switch off = base byte-identical and restored. JV at 20% carry: catch-up 49,243 (=25% of LP pref 196,971), sponsor total 474,692 to 409,706 (multiple 2.51x to 2.22x), partner and landowner rise; total distributed unchanged at 1,871,400. Self-funded collapses to all-to-sponsor (no LP). All states reconcile (Waterfall!F39=0, Engine!B26=0). Base restored to Joint venture, catch-up off; Inputs and Waterfall re-protected with STACK.</t>
  </si>
  <si>
    <t>Asked for my judgment on whether the other RE PE Fund template ideas (fund-level fees, portfolio/multi-scheme roll-up) are worth adopting.</t>
  </si>
  <si>
    <t>Gave an opinionated recommendation; no model changes.</t>
  </si>
  <si>
    <t>View: Portfolio/multi-scheme roll-up is the highest-value remaining item and aligns with Flitrr's programme/PULSE direction (Read Me already earmarks folding into one STACK model), but it is an architectural shift and should be a deliberate project, not a bolt-on. General fund-level fees: mostly skip for a single 30-month scheme, redundant with the existing development management fee; only revisit alongside a fund layer. Narrow exception: an optional asset/JV management fee on partner committed equity if real deals charge it (low effort). Cross-template flag: the refinance / develop-to-hold exit (from the single-family model) is more relevant to STACK than fund fees and pairs with the off-plan and after-tax work. Ranking: portfolio roll-up &gt; refinance/develop-to-hold &gt; narrow JV management fee &gt; general fund fees (skip).</t>
  </si>
  <si>
    <t>Recommendation delivered; awaiting user decision. No model changes; reconciliations unaffected (Engine!B26=0, Waterfall!F39=0).</t>
  </si>
  <si>
    <t>SCHEME METRICS (optional, for per-unit display)</t>
  </si>
  <si>
    <t>Net saleable area</t>
  </si>
  <si>
    <t>sq ft</t>
  </si>
  <si>
    <t>Optional. Net saleable / sellable floor area. Drives the per square foot column on the Summary dashboard. Leave blank to hide it.</t>
  </si>
  <si>
    <t>Number of plots / units</t>
  </si>
  <si>
    <t>#</t>
  </si>
  <si>
    <t>Optional. Number of plots or units. Drives the per plot column on the Summary dashboard. Leave blank to hide it.</t>
  </si>
  <si>
    <t>SCHEME &amp; TIMING</t>
  </si>
  <si>
    <t>SOURCES &amp; USES</t>
  </si>
  <si>
    <t>RETURN METRICS</t>
  </si>
  <si>
    <t>Funding route</t>
  </si>
  <si>
    <t>GDV</t>
  </si>
  <si>
    <t>NDV (net of sales costs)</t>
  </si>
  <si>
    <t>Net saleable area (sq ft)</t>
  </si>
  <si>
    <t>TIMING</t>
  </si>
  <si>
    <t>Programme (months)</t>
  </si>
  <si>
    <t>Commencement</t>
  </si>
  <si>
    <t>Completion</t>
  </si>
  <si>
    <t>Pre-sales (off-plan)</t>
  </si>
  <si>
    <t>% total</t>
  </si>
  <si>
    <t>USES</t>
  </si>
  <si>
    <t>Land at value</t>
  </si>
  <si>
    <t>SDLT</t>
  </si>
  <si>
    <t>Statutory</t>
  </si>
  <si>
    <t>Acquisition &amp; legal</t>
  </si>
  <si>
    <t>Total project cost</t>
  </si>
  <si>
    <t>Finance cost (memo)</t>
  </si>
  <si>
    <t>SOURCES</t>
  </si>
  <si>
    <t>Senior debt</t>
  </si>
  <si>
    <t>Pre-sale receipts</t>
  </si>
  <si>
    <t>Sponsor equity</t>
  </si>
  <si>
    <t>Funding partner equity</t>
  </si>
  <si>
    <t>Contributed land (equity)</t>
  </si>
  <si>
    <t>Total sources</t>
  </si>
  <si>
    <t>Sources less uses (check)</t>
  </si>
  <si>
    <t>IRR</t>
  </si>
  <si>
    <t>MOIC</t>
  </si>
  <si>
    <t>Profit</t>
  </si>
  <si>
    <t>Project (unlevered)</t>
  </si>
  <si>
    <t>Equity (levered)</t>
  </si>
  <si>
    <t>Equity (after-tax)</t>
  </si>
  <si>
    <t>PARTNERSHIP (by party)</t>
  </si>
  <si>
    <t>Partner</t>
  </si>
  <si>
    <t>Contribution</t>
  </si>
  <si>
    <t>Distribution</t>
  </si>
  <si>
    <t>Reviewed the Land Development template and, per the user's directive, redesigned the STACK Summary into a one-screen dashboard that beats the template's Project Summary page.</t>
  </si>
  <si>
    <t>Added optional per-unit inputs, inserted a 3-panel dashboard at the top of the Summary (preserving all formula links via row insert), wired Sources &amp; Uses and Return Metrics, added two charts, verified and re-protected.</t>
  </si>
  <si>
    <t>Inputs rows 73-75: optional net saleable area C74 and number of plots C75 (drive per-unit columns; blank hides them). Summary: inserted 23 rows below the verdict; built 3 panels: (1) Scheme &amp; Timing; (2) Sources &amp; Uses with columns for amount, % of total, per-sq-ft and per-plot, Uses (land, SDLT, construction, prof fees, statutory, acq/legal, DM fee) and Sources (senior, mezz, pre-sale, sponsor/partner equity, contributed land) both totalling to Inputs C53 with a sources-less-uses check; (3) Return Metrics: Project unlevered, Equity levered, Equity after-tax (IRR/MOIC/profit) plus a per-party table (contribution, distribution, profit, multiple for sponsor/partner/landowner). Two charts: Uses doughnut and Profit-by-party column. Froze rows 1-3. Beats the template by also carrying the after-tax line, full per-party breakdown and the plain-English verdict, which the template lacks.</t>
  </si>
  <si>
    <t>Sources balance Uses exactly (check = 0). Row insert auto-repointed all cross-references (e.g. Engine after-tax now reads Summary!B29) and reconciliations are intact (Engine!B26=0, Waterfall!F39=0). Per-unit columns show blank until area/plots are entered. Summary re-protected with STACK; base case unchanged.</t>
  </si>
  <si>
    <t>Senior loan-to-cost</t>
  </si>
  <si>
    <t>Senior loan-to-GDV</t>
  </si>
  <si>
    <t>Peak senior exposure</t>
  </si>
  <si>
    <t>Peak / GDV</t>
  </si>
  <si>
    <t>VIABILITY</t>
  </si>
  <si>
    <t>Promote / carry earned</t>
  </si>
  <si>
    <t>Residual to final tier</t>
  </si>
  <si>
    <t>FUNDING ROUTES COMPARED (this scheme)</t>
  </si>
  <si>
    <t>Cash in</t>
  </si>
  <si>
    <t>PoC</t>
  </si>
  <si>
    <t>Most cash in, no debt, simplest to run</t>
  </si>
  <si>
    <t>Senior debt lowers cash in, adds interest</t>
  </si>
  <si>
    <t>Mixed (senior + mezz)</t>
  </si>
  <si>
    <t>Senior plus mezzanine, least cash in</t>
  </si>
  <si>
    <t>Joint venture (selected)</t>
  </si>
  <si>
    <t>Land-for-equity, profit shared (live route)</t>
  </si>
  <si>
    <t>Pre-sales fund the build, less interest</t>
  </si>
  <si>
    <t>Cash in and profit are your slice; the live route links the engine, the others are closed-form estimates.</t>
  </si>
  <si>
    <t>CREDIT &amp; MARGIN</t>
  </si>
  <si>
    <t>User found the Summary disjointed after the dashboard build (duplicated blocks below, broken column widths) and asked to clean it into a cohesive full page.</t>
  </si>
  <si>
    <t>Rebuilt the lower half of the Summary: repointed load-bearing references to a stable cell, dropped the blocks now duplicated by the dashboard, and re-created the unique content cleanly in the dashboard column layout; repositioned the charts and set a one-page print layout.</t>
  </si>
  <si>
    <t>Repointed the after-tax engine cells (Engine B43/B44) and the verdict (Summary A3) to the stable dashboard equity-profit cell M8, so the old KEY OUTPUTS profit/PoC cells were no longer load-bearing. Cleared rows 27-74 (removed the duplicated KEY OUTPUTS, funding-at-peak, waterfall-by-party, time-based and after-tax blocks, all now in the dashboard). Rebuilt: CREDIT &amp; MARGIN panel (LTC/LTGDV vs limits, peak exposure, profit on cost and on GDV, finance/GDV, cover) and a VIABILITY panel (verdict, margin vs target, pref covered, promote earned, residual); a FUNDING ROUTES COMPARED table (5 routes linking Comparison, JV row highlighted, trade-off column merged); charts (Uses doughnut, Profit by party) repositioned side by side below. Landscape, print area A1:N61, fit one page wide.</t>
  </si>
  <si>
    <t>Page now flows cleanly verdict, dashboard, credit/viability, routes, charts with no duplication or column overflow. Reconciliations intact (Engine!B26=0, Waterfall!F39=0); after-tax and verdict resolve via the repointed M8; equity profit 614,633, after-tax profit 460,975. Summary and Engine re-protected with STACK.</t>
  </si>
  <si>
    <t>Asked to double-check the workbook for anything lost or any errors after the Summary cleanup, and to ensure the sheet is re-protected before moving on.</t>
  </si>
  <si>
    <t>Ran a full error scan across every model sheet, re-verified the reconciliations and key integrity values, and confirmed protection on all sheets.</t>
  </si>
  <si>
    <t>Scanned used ranges on Summary, Inputs, Cashflow, Waterfall, Sensitivity, Comparison and Engine for error-type cells: zero errors found. Re-checked: Engine B26 = 0; Waterfall F39 = 0; Summary Sources (E24) = Uses (E15) = 2,893,691 with the check cell E25 = 0; equity profit M8 = 614,633; profit on cost B32 = 19.5%. Protection state: all model sheets protected; Claude Log intentionally unprotected as the journal. Summary confirmed protected (idempotent re-protect check).</t>
  </si>
  <si>
    <t>Clean: no errors, all reconciliations zero, Sources equal Uses, headline figures consistent. Workbook fully protected (except the Claude Log journal). Ready to move on.</t>
  </si>
  <si>
    <t>Review the fifth benchmark template (Real-Estate-Acquisition-Financial-Model.pdf, Profit Vision, same firm) and flag anything that could add to STACK.</t>
  </si>
  <si>
    <t>OCR'd the 9-page model, benchmarked against STACK; concluded it offers nothing new to build. No model changes.</t>
  </si>
  <si>
    <t>Template = single commercial-property buy-renovate-hold-sell acquisition model: 10-year hold, operating income (rent, deposit, free rent, vacancy, EGR, opex, NOI, CoC), two loans with refinance (acquisition to permanent), debt-service reserve, moratorium/IO periods, after-tax returns, yield-driven valuation, LP/GP waterfall (90/10, 8% cumulative pref, then 40/60). Structurally the commercial twin of the single-family template (template 2). Honest conclusion: its transferable analytics are already in STACK (after-tax, unlevered/levered IRR and MOIC, LP/GP pref plus catch-up/carry, senior plus mezz). Only reinforces previously flagged items: refinance / acquire-to-hold (develop-to-hold) exit, and operating hold with income (develop-to-rent) - both hold-related extensions. Minor new item: debt-service reserve at close (low value for a 30-month rolled-up-interest development).</t>
  </si>
  <si>
    <t>No new must-have surfaced; recommended no build from this template. STACK already covers single-asset acquisition analytics. No model changes; reconciliations unaffected (Engine!B26=0, Waterfall!F39=0).</t>
  </si>
  <si>
    <t>Asked for a detailed comb-through of STACK using general knowledge (not the templates) to find further improvements.</t>
  </si>
  <si>
    <t>Verified cost inputs and cashflow structure against the live model, then produced a prioritised improvement list grounded in UK development-finance best practice. No model changes.</t>
  </si>
  <si>
    <t>Confirmed gaps: no construction contingency line; costs are nominal (no inflation/sales growth); SDLT is a manual input; all NDV recognised at completion with no post-completion sell-down/void period; interest accrues on opening balance only; construction cost spread evenly (no S-curve); land is a fixed input (no residual land value). Prioritised recommendations - Tier 1: (1) Residual Land Value back-solve (max land bid for target profit) - top pick; (2) construction contingency % line; (3) post-completion sales/void period carrying finance and holding costs. Tier 2 precision: (4) interest on average drawn balance; (5) S-curve build drawdown; (6) cost inflation/sales growth; (7) funding-sequence toggle equity-first vs debt-first. Tier 3: (8) break-even headroom; (9) per-party IRR; (10) unit-mix/revenue schedule deriving GDV/area/plots. Tier 4: SDLT from UK bands, commitment fee, extra audit flags, VAT timing. Recommended order: RLV, contingency, sell-down, average-balance interest.</t>
  </si>
  <si>
    <t>Review delivered; awaiting user choice on what to action. No model changes; reconciliations unaffected (Engine!B26=0, Waterfall!F39=0).</t>
  </si>
  <si>
    <t>CURRENCY</t>
  </si>
  <si>
    <t>Reporting currency</t>
  </si>
  <si>
    <t>Reporting currency for the whole workbook. Drives the currency banner on every tab. Amounts are shown without a symbol; the banner states the unit.</t>
  </si>
  <si>
    <t>Currency symbol (derived)</t>
  </si>
  <si>
    <t>Currency code (derived)</t>
  </si>
  <si>
    <t>NGN</t>
  </si>
  <si>
    <t>CONTINGENCY</t>
  </si>
  <si>
    <t>Construction contingency (% of build cost)</t>
  </si>
  <si>
    <t>Buffer on the build cost. Best practice 5 to 7.5%. Flows into cost, finance sizing and the cashflow. Default 0% leaves the base case unchanged.</t>
  </si>
  <si>
    <t>Begin stepping through the Tier 1-4 improvements, and add a selectable reporting currency (USD, GBP, EUR, NGN, SAR, CNY) that pulls across the document. This turn: currency + Tier 1 contingency.</t>
  </si>
  <si>
    <t>Added a reporting-currency selector with dynamic per-sheet currency banners and currency-neutral number formats workbook-wide; then added a construction contingency input wired through cost, finance sizing, the cashflow and the Summary. Both tested.</t>
  </si>
  <si>
    <t>Currency: Inputs rows 77-80 - dropdown C78 (GBP/USD/EUR/NGN/SAR/CNY, default GBP), derived symbol C79 (CHOOSE/MATCH) and code C80. Because Excel number formats cannot read a cell without a macro, stripped the hard pound sign from all currency number formats across all seven sheets (Inputs 13, Summary 73, Engine 321, Cashflow 736, Waterfall 45, Comparison 80, Sensitivity 2) and made each sheet's subtitle and a Summary row-4 banner declare the live currency. Verified switching to USD/NGN updates every banner and symbol; numbers render clean; reverts to GBP. Contingency: Inputs rows 82-83, C83 = contingency % of build cost (default 0). Folded C26*(1+C83) into the cost total (C51), the Engine monthly spend (C5), the Cashflow construction line (C12) and the Summary Uses construction line (E10), so it flows into cost, finance and the cashflow and keeps Sources=Uses.</t>
  </si>
  <si>
    <t>Currency fully dynamic and pulls across; numbers currency-neutral. Contingency at 5% reduces profit by 110,371 (100,712 buffer plus extra finance), Cashflow ties to profit, Sources=Uses (check 0), B26=0; at 0% the base case is byte-identical (profit 614,633). All sheets re-protected. Remaining Tier 1-4 items still to do (RLV next).</t>
  </si>
  <si>
    <t>RESIDUAL LAND VALUE (indicative)</t>
  </si>
  <si>
    <t>Max land bid for target profit on cost</t>
  </si>
  <si>
    <t>Current land value</t>
  </si>
  <si>
    <t>Headroom vs current</t>
  </si>
  <si>
    <t>RLV per plot</t>
  </si>
  <si>
    <t>Indicative: finance and non-land costs held at the current scheme. Above this land price, profit on cost falls below target. Solving the finance feedback exactly needs iteration, which STACK avoids by design.</t>
  </si>
  <si>
    <t>Continue the Tier 1-4 program: add Residual Land Value (max land bid for the target profit).</t>
  </si>
  <si>
    <t>Added an indicative Residual Land Value block to the Summary, derived in closed form to stay deterministic. One-way analysis, does not feed back into the model.</t>
  </si>
  <si>
    <t>Summary rows 34-36: RLV = NDV/(1+target PoC) - finance - non-land costs (Inputs C25/(1+C47) - Engine B21 - (Inputs C53 - C30)). Holds finance and non-land costs at the current scheme (the exact finance feedback would need iteration, which STACK avoids). Shows max land bid for target PoC, current land, headroom vs current, and RLV per plot (blank until plots entered). Base case: RLV = 510,799 vs current land 525,000, headroom -14,200 (consistent with the scheme at 19.5% PoC, just below the 20% target).</t>
  </si>
  <si>
    <t>RLV correct and meaningful; pure one-way output so the base case is untouched (profit still 614,633), reconciliations intact (Engine!B26=0, Waterfall!F39=0); Summary re-protected. Next: post-completion sell-down / void period.</t>
  </si>
  <si>
    <t>SELL-DOWN / VOID</t>
  </si>
  <si>
    <t>Holding cost during void (per month)</t>
  </si>
  <si>
    <t>/mo</t>
  </si>
  <si>
    <t>Running cost per month on unsold units between construction end and sale (rates, service charge, marketing, security). Applies over the void window (sale month minus construction-end month). Default 0 leaves the base case unchanged.</t>
  </si>
  <si>
    <t>Holding cost (void)</t>
  </si>
  <si>
    <t>Total finance and holding cost</t>
  </si>
  <si>
    <t>Finance and holding subtotal</t>
  </si>
  <si>
    <t>Continue the program: add the post-completion sell-down / void holding cost (Tier 1 final item).</t>
  </si>
  <si>
    <t>Added a void holding-cost input that carries over the sell-down window and flows through profit, PoC, the waterfall, the equity cash flow and the cashflow; gated and tested.</t>
  </si>
  <si>
    <t>Inputs rows 85-86: holding cost per month C86 (default 0). Engine B31 = C86 x MAX(0, C35-C34) (void window = sale month minus construction-end month); added to the finance/holding total B21 (relabelled), so profit (M8), PoC, the verdict and RLV all pick it up automatically. Waterfall F11/F39 net off B31; Engine equity-CF row35 subtracts B31 at completion; Cashflow finance subtotal C19 (relabelled 'Finance and holding subtotal') deducts holding over the void months so the cumulative ties. B26 unaffected (holding is funded from sales, outside the construction funding recon). NDV-timing and progressive redemption left as a future refinement.</t>
  </si>
  <si>
    <t>Tested: holding 5,000/month over the 3-month void cuts profit by exactly 15,000 (614,633 to 599,633), PoC 19.5% to 18.9%, equity IRR 32.3% to 31.6%, Cashflow ties to profit, B26=0, F39=0; at 0 the base case is byte-identical. Tier 1 now complete (contingency, RLV, sell-down) plus the currency selector. Sheets re-protected. Next: Tier 2 (average-balance interest).</t>
  </si>
  <si>
    <t>INTEREST BASIS</t>
  </si>
  <si>
    <t>Interest accrual basis</t>
  </si>
  <si>
    <t>Opening balance is the simple roll-up. Average balance also charges half a month of interest on each new drawdown (more precise, slightly higher finance cost). Default Opening balance leaves the base case unchanged.</t>
  </si>
  <si>
    <t>Continue the program: Tier 2 interest on the average drawn balance (toggle).</t>
  </si>
  <si>
    <t>Added an interest-accrual-basis toggle and reworked the Engine interest and draw formulas to support it deterministically (no circular reference). Tested.</t>
  </si>
  <si>
    <t>Inputs rows 88-89: Interest accrual basis C89 dropdown (Opening balance / Average balance, default Opening balance). Engine row11 interest = IF(Average, (opening + 0.5*draw)*rate, opening*rate); row12 draw headroom changed from (opening+interest) to (opening+opening*rate) so the draw no longer references the interest cell, removing the within-month circularity when interest depends on the draw. In Opening mode the two are algebraically identical, so the base case is byte-identical. Average mode charges half a month of interest on each new drawdown.</t>
  </si>
  <si>
    <t>Tested: Opening balance = base (finance 264,676, profit 614,633). Average balance adds 6,495 finance (271,171), profit 608,138, B26=0, F39=0, no circular reference. Reverted to Opening balance. Sheets re-protected. Next: S-curve construction drawdown.</t>
  </si>
  <si>
    <t>CONSTRUCTION PROFILE</t>
  </si>
  <si>
    <t>Build cost drawdown profile</t>
  </si>
  <si>
    <t>Even</t>
  </si>
  <si>
    <t>Even spreads build cost equally across the construction months. S-curve back-loads then tapers (slow start, mid peak), which changes interest timing. Total build cost is unchanged either way. Default Even leaves the base case unchanged.</t>
  </si>
  <si>
    <t>Continue the program: Tier 2 S-curve construction drawdown (toggle).</t>
  </si>
  <si>
    <t>Added a build-cost drawdown profile toggle (Even / S-curve) and wired a deterministic smoothstep S-curve into the Engine spend and the Cashflow construction line. Tested.</t>
  </si>
  <si>
    <t>Inputs rows 91-92: Build cost drawdown profile C92 (Even / S-curve, default Even). Engine row5 and Cashflow row12 construction terms now multiply the build bundle by a monthly weight: even = 1/N, S-curve = smoothstep cumulative difference (3t^2-2t^3 at k/N minus at (k-1)/N), which sums to 1 so total build cost is unchanged - only timing moves. Default Even is algebraically identical to before.</t>
  </si>
  <si>
    <t>Tested: Even = base (finance 264,676, profit 614,633). S-curve keeps total spend identical (2,368,691) but back-loads it, cutting interest to 255,903 and lifting profit to 623,406; Cashflow ties, B26=0, F39=0. Reverted to Even. Sheets re-protected. Next: cost inflation / sales growth.</t>
  </si>
  <si>
    <t>INFLATION / ESCALATION</t>
  </si>
  <si>
    <t>Build cost inflation (% pa)</t>
  </si>
  <si>
    <t>Escalates the build cost to the construction midpoint. Default 0 leaves the base case unchanged.</t>
  </si>
  <si>
    <t>Sales value growth (% pa)</t>
  </si>
  <si>
    <t>Grows GDV from today to the sale month. Net development value derives from the grown GDV. Default 0 leaves the base case unchanged.</t>
  </si>
  <si>
    <t>Effective build cost (derived)</t>
  </si>
  <si>
    <t>Continue the program: Tier 2 cost inflation and sales value growth.</t>
  </si>
  <si>
    <t>Added build-cost inflation and sales-value growth inputs, routed the build cost through a single derived effective-build-cost cell, and escalated NDV; tested both and caught/fixed a Cashflow GDV tie.</t>
  </si>
  <si>
    <t>Inputs rows 94-97: build cost inflation C95 and sales value growth C96 (both default 0); derived effective build cost C97 = C26*(1+C83)*(1+C95)^((C33+C34)/2/12) (inflate to construction midpoint). Repointed C51, Engine row5, Cashflow row12 and Summary Uses construction line to reference C97 instead of C26*(1+C83). NDV C25 = C23*(1+C96)^(C35/12)*(1-C24) (grow GDV to sale). Fixed Cashflow GDV line (row20) to recognise the grown GDV (C25/(1-C24)) so the cumulative ties under growth. Defaults give C97=C26 and C25 unchanged, so base case is byte-identical.</t>
  </si>
  <si>
    <t>Tested: base unchanged (614,633). Build inflation 5%: effective build 2,158,397, cost 3,037,839, profit 456,661, Cashflow ties, B26=0. Sales growth 3%: NDV 4,062,374, profit 904,006, Cashflow ties (after the row20 fix), F39=0. Reverted both to 0. Sheets re-protected. Next: funding-sequence toggle (equity-first), finishing Tier 2.</t>
  </si>
  <si>
    <t>FUNDING SEQUENCE</t>
  </si>
  <si>
    <t>Funding sequence</t>
  </si>
  <si>
    <t>Debt first</t>
  </si>
  <si>
    <t>Debt first draws senior to its cap, then equity (current). Equity first funds the front-end (land and pre-construction) from equity and draws senior for construction, which lowers early interest but deploys equity sooner. Default Debt first leaves the base case unchanged.</t>
  </si>
  <si>
    <t>Continue the program: Tier 2 funding-sequence toggle (debt first vs equity first), completing Tier 2.</t>
  </si>
  <si>
    <t>Added a funding-sequence toggle that, in equity-first mode, funds the front-end from equity and draws senior for construction; single deterministic change to the monthly draw. Tested.</t>
  </si>
  <si>
    <t>Inputs rows 99-100: Funding sequence C100 (Debt first / Equity first, default Debt first). Engine row12 draw = IF(Equity first AND month &lt; construction start, 0, normal cascade), so senior does not draw during the front-end (land and pre-construction) when equity-first; equity row14 then funds it. Total cost is split equity+senior either way, so B26 stays 0. Default Debt first is byte-identical.</t>
  </si>
  <si>
    <t>Tested: Debt first = base (finance 264,676, profit 614,633, equity IRR 32.3%). Equity first lowers interest to 253,602 and lifts profit to 625,707 but lowers equity IRR to 30.8% (capital deployed earlier) - the realistic trade-off; B26=0, F39=0. Reverted to Debt first. Tier 2 complete. Sheets re-protected. Next: Tier 3 break-even headroom.</t>
  </si>
  <si>
    <t>BREAK-EVEN HEADROOM</t>
  </si>
  <si>
    <t>GDV fall to break-even (profit = 0)</t>
  </si>
  <si>
    <t>Cost overrun to break-even (profit = 0)</t>
  </si>
  <si>
    <t>GDV at break-even</t>
  </si>
  <si>
    <t>Margin vs target (profit on cost less target)</t>
  </si>
  <si>
    <t>How far each driver can move before profit hits zero, holding the others at the base run. GDV fall equals the profit-on-GDV margin; cost overrun equals the profit on cost.</t>
  </si>
  <si>
    <t>Continue the program: Tier 3 break-even headroom.</t>
  </si>
  <si>
    <t>Added a break-even headroom block to the Sensitivity tab (one-way analysis). No effect on the model.</t>
  </si>
  <si>
    <t>Sensitivity rows 31-36: GDV fall to break-even = profit/NDV (Summary M8 / Inputs C25); cost overrun to break-even = profit on cost (M8/(C53+B21)); GDV at break-even = (C53+B21)/(1-sales costs); margin vs target = PoC - target. Pure one-way references to Summary/Inputs/Engine; does not feed back.</t>
  </si>
  <si>
    <t>Base case: GDV can fall 16.3% (to 3,222,824) and cost can overrun 19.5% before profit hits zero; margin vs target -0.5%. Base case untouched (profit 614,633); Sensitivity re-protected. Next: per-party IRR.</t>
  </si>
  <si>
    <t>PER-PARTY CASH FLOWS (selected route)</t>
  </si>
  <si>
    <t>Sponsor net cash flow</t>
  </si>
  <si>
    <t>Funding partner net cash flow</t>
  </si>
  <si>
    <t>Landowner net cash flow</t>
  </si>
  <si>
    <t>Sponsor IRR (p.a.)</t>
  </si>
  <si>
    <t>Funding partner IRR (p.a.)</t>
  </si>
  <si>
    <t>Landowner IRR (p.a.)</t>
  </si>
  <si>
    <t>IRR (p.a.)</t>
  </si>
  <si>
    <t>Per-party IRR reflects the timing of each party's own cash. It runs high where capital goes in late and thin (e.g. sponsor cash after senior), and lower for land contributed from day one.</t>
  </si>
  <si>
    <t>Continue the program: Tier 3 per-party IRR (Sponsor, Funding partner, Landowner).</t>
  </si>
  <si>
    <t>Built monthly cash-flow vectors per party in the Engine and surfaced their IRRs on the Summary partnership table. One-way analysis.</t>
  </si>
  <si>
    <t>Engine rows 46-53: per-party net cash flow vectors (rows 47-49) - Sponsor = -(monthly cash equity x (1-partner split)) less own land at month 1 plus sponsor distribution at completion; Partner = -(monthly cash equity x partner split) plus partner distribution; Landowner = -land at month 1 plus landowner distribution. The three sum to the whole equity vector. IRR cells B51-B53 = annualised monthly IRR, wrapped in IFERROR (n/a where a party is absent). Surfaced on Summary J17/K17/L17/M17 with a timing note (J18).</t>
  </si>
  <si>
    <t>Selected route IRRs: Sponsor 504.7% (thin cash deployed late after senior, so very high - correct and noted), Funding partner 60.9%, Landowner 15.8% (land in from day one, lowest). One-way output, reconciliations unaffected (B26=0, F39=0), base case intact (614,633). Engine and Summary re-protected. Next: unit-mix / revenue schedule.</t>
  </si>
  <si>
    <t>UNIT MIX (optional, drives area and plots)</t>
  </si>
  <si>
    <t>Unit type</t>
  </si>
  <si>
    <t>Count</t>
  </si>
  <si>
    <t>Area each (sq ft)</t>
  </si>
  <si>
    <t>Price each</t>
  </si>
  <si>
    <t>Line GDV</t>
  </si>
  <si>
    <t>Totals</t>
  </si>
  <si>
    <t>Total saleable area (sq ft)</t>
  </si>
  <si>
    <t>GDV from mix less GDV input</t>
  </si>
  <si>
    <t>Continue the program: Tier 3 unit-mix / revenue schedule.</t>
  </si>
  <si>
    <t>Added an optional unit-mix table on Inputs that derives total area, plots and a GDV cross-check, and repointed the per-unit inputs to it. Tested with a sample and cleared.</t>
  </si>
  <si>
    <t>Inputs rows 102-112: unit-mix table (type, count, area each, price each; line GDV = count x price). Derived: B110 total units, B111 total saleable area (SUMPRODUCT), E110 GDV from mix, B112 GDV-from-mix less GDV input (cross-check). Repointed C74 (net saleable area) = IF(B111&gt;0,B111,"") and C75 (plots) = IF(B110&gt;0,B110,""), now derived from the mix instead of typed. GDV (C23) is NOT overridden, so the base case is safe; the table just cross-checks it. Blank by default.</t>
  </si>
  <si>
    <t>Tested: blank = per-unit columns blank, base intact. Sample (6 units x 900 sq ft x 641,667) drove area 5,400, plots 6, lit the dashboard per-ft2 column (land 97.2/ft2), GDV check +2 vs input; profit unchanged 614,633, B26=0. Cleared back to blank. Inputs re-protected. Last item next: Tier 4 audit flags.</t>
  </si>
  <si>
    <t>Before the final item, fix hardcoded currency symbols flagged on the Summary (E6) and sweep for others now that currency is selectable.</t>
  </si>
  <si>
    <t>Replaced all literal pound signs in labels/headers with the dynamic currency symbol across the Summary and Inputs.</t>
  </si>
  <si>
    <t>Summary: E6, G6, H6 Sources and Uses column headers changed to =Inputs!C79, =C79&amp;'/ft2', =C79&amp;'/plot'; verdict A3 profit figure changed from TEXT(M8,'pound#,##0') to C79&amp;TEXT(M8,'#,##0'). Inputs: unit column cells D23, D25-D31, D50-D54 changed from literal pound to =$C$79. Workbook-wide scan confirmed no remaining hardcoded pound signs in labels on Engine, Cashflow, Waterfall, Comparison or Sensitivity. Currency currently set to NGN by the user, so these now render the Naira symbol and switch with the dropdown.</t>
  </si>
  <si>
    <t>All currency symbols now dynamic; base case unchanged (profit 614,633 in the selected currency); both sheets re-protected. Ready for the final item (Tier 4 audit flags).</t>
  </si>
  <si>
    <t>AUDIT CHECKS</t>
  </si>
  <si>
    <t>Cash uses reconciliation</t>
  </si>
  <si>
    <t>Waterfall reconciliation</t>
  </si>
  <si>
    <t>Cashflow ties to profit</t>
  </si>
  <si>
    <t>Sources equal uses</t>
  </si>
  <si>
    <t>Sales cover senior and mezzanine</t>
  </si>
  <si>
    <t>Project profit not negative</t>
  </si>
  <si>
    <t>Final item of the improvement program: Tier 4 audit flags.</t>
  </si>
  <si>
    <t>Added an Audit checks block to the Summary with pass/fail (OK/CHECK) indicators and green/red conditional formatting. Completes the 12-item program.</t>
  </si>
  <si>
    <t>Summary J19:N25: six one-way integrity checks - cash uses reconciliation (Engine B26=0), waterfall reconciliation (F39=0), Cashflow ties to profit (AK25=M8), sources equal uses (E25=0), sales cover senior and mezzanine (NDV &gt;= B20+B29), project profit not negative. Each returns OK or CHECK with conditional formatting (green/red). Pure one-way reads; no effect on the model.</t>
  </si>
  <si>
    <t>All six checks read OK in the base case; Summary re-protected. PROGRAM COMPLETE: currency selector plus all Tier 1-4 improvements (contingency, residual land value, sell-down, average-balance interest, S-curve, inflation/growth, equity-first, break-even, per-party IRR, unit-mix, audit flags). Every feature gated or one-way, base case profit 614,633 unchanged, reconciliations zero. PROJECT REFERENCE section is now stale and could be refreshed.</t>
  </si>
  <si>
    <t>Asked to confirm a holistic sweep of the whole document and that it is error free.</t>
  </si>
  <si>
    <t>Ran a workbook-wide error scan and a robustness sweep across all funding routes.</t>
  </si>
  <si>
    <t>Current state: zero error-type cells across all seven sheets (Inputs, Summary, Engine, Cashflow, Waterfall, Comparison, Sensitivity); Engine B26=0; Waterfall F39=0; Sources equal Uses (check 0); Cashflow ties to profit (difference 0); all six audit checks OK; profit 614,633. Route robustness: toggled the funding route through Self-funded, Debt-financed, Joint venture and Off-plan - each had zero errors, B26=0, F39=0 and all six audit checks OK (profits 853,059 / 503,844 / 614,633 / 503,844). Restored to Joint venture. Not exhaustively combinatorially tested across all twelve optional toggles at once, but each feature was tested individually at build and all default to off.</t>
  </si>
  <si>
    <t>Confirmed error free: no error values anywhere, reconciliations zero, audit flags all OK, robust across all routes. Base case restored (Joint venture, profit 614,633).</t>
  </si>
  <si>
    <t>Run a combined stress test across as many scenarios as possible (multiple toggles on at once, downturn/loss, edge cases).</t>
  </si>
  <si>
    <t>Ran an 18-scenario combined stress test; 16 passed and 2 revealed real edge-case issues, which were fixed and re-tested to pass.</t>
  </si>
  <si>
    <t>Scenarios combined many toggles at once (all features on per route, mezzanine, equity-first, S-curve, average interest, inflation, catch-up, EM hurdle, pre-sales) plus downturn (sales -10/-15%), GDV crash + cost up, 100% pre-sales, extreme holding. Findings: (1) IRR/EM cells (Engine B38/B39/B40/B41/B45/B46) threw #NUM where a cash-flow vector had no sign change (deep loss or near-zero equity) - wrapped each in IFERROR -&gt; n/a. (2) Waterfall reconciliation F39 broke (327,433) when total equity capital F6 fell to zero (high pre-sales, no partner): the residual-to-capital tier returns 0 and left profit undistributed. Fixed by making the sponsor residual take a plug: C28 = F26 - (C27+D27+E27), which equals the prior promote/carry in normal cases and guarantees full distribution when F6=0. Both fixes leave the base case byte-identical (C28 still 196,891, profit 614,633).</t>
  </si>
  <si>
    <t>After fixes, re-tested the failing and edge scenarios (GDV crash loss -1,284,686; off-plan 80% pre-sales; severe downturn; 100% pre-sales JV with catch-up; all-features-on): every one now passes with 0 errors, B26=0 and F39=0. Final full scan: 0 errors across all seven sheets, recons 0, audit all OK, profit 614,633. Model restored to base (Joint venture) and re-protected.</t>
  </si>
  <si>
    <t>Monthly senior schedule, columns C to AF (months 1-30). Row 6 pre-sale receipts reduce the monthly draw. Anchors in column B: B17 senior close, B18 arrangement, B19 exit, B20 redemption, B21 total finance and holding cost (incl mezzanine B28 and void holding B31), B22 peak, B23 cash equity, B24 sponsor, B25 partner, B26 reconciliation reads 0, B27 mezzanine facility, B28 mezzanine interest, B29 mezzanine redemption, B30 total pre-sale debt reduction, B31 void holding cost. Rows 32-41 time-based returns: Project IRR B38, Project EM B39, Equity IRR B40, Equity EM B41 (all IFERROR-guarded). Rows 43-46 after-tax: tax B43, after-tax profit B44, after-tax IRR B45, after-tax EM B46. Rows 46-53 per-party cash flows and IRRs (Sponsor B51, Partner B52, Landowner B53). The schedule responds to interest basis C89 (Average adds half a month on each draw), build profile C92 (S-curve), and funding sequence C100 (Equity first funds the front-end). No circular reference.</t>
  </si>
  <si>
    <t>Three parties: Sponsor C, Funding partner D, Landowner E. Senior and mezzanine redeemed first, then return of capital, then the Tier 2 return hurdle (basis switchable on Inputs C59: preferred-return rate, or equity-multiple hurdle C60), then the residual split. Optional GP catch-up and carry on Inputs C70/C71 (pref, then 100% catch-up, then carry). F11 and F39 net off pre-sale debt reduction Engine B30 and void holding B31. The sponsor Tier 3 take is a plug, C28 = F26 minus (C27+D27+E27), so distribution is always complete even when total equity capital is zero (full pre-sale funding). Reconciliation F39 reads 0.</t>
  </si>
  <si>
    <t>No circular references. Senior interest rolls up on the opening balance (or, optionally, the average balance via C89). Pre-sale receipts, S-curve drawdown (C92) and equity-first sequencing (C100) are all deterministic. The preferred return accrues on capital; the promote is on profit. Residual land value is a closed-form back-solve (finance held at the current run). After-tax and per-party IRR are one-way overlays. Time-based IRR is an annualised monthly IRR, IFERROR-guarded so extreme or zero-equity scenarios show n/a rather than an error.</t>
  </si>
  <si>
    <t>UK spelling. No em dashes or en dashes; commas, or the word to for ranges, hyphens only inside hyphenated words. Exact casing: Flitrr, PULSE, ROUTE, STACK. Currency is selectable on Inputs C78 (GBP, USD, EUR, NGN, SAR, CNY); amounts are shown without a hard symbol and each tab states the unit via a live banner. Colour coding: blue input, black formula, green cross-sheet link, yellow fill editable, grey fill calculated.</t>
  </si>
  <si>
    <t>Refresh the PROJECT REFERENCE handoff section so a new session can resume cleanly after the full improvement program.</t>
  </si>
  <si>
    <t>Updated the key reference entries to reflect every feature added since the section was last refreshed.</t>
  </si>
  <si>
    <t>Rewrote: key input cell addresses (added C67 tax, C70/C71 catch-up/carry, C78 currency, C83 contingency, C86 holding, C89 interest basis, C92 build profile, C95/C96 inflation/growth, C100 funding sequence, C74/C75 now derived from unit-mix A102:E112, C97 effective build cost); Engine (B31 holding, after-tax B43-B46, per-party B51-B53, schedule responds to C89/C92/C100, IFERROR-guarded IRR); Waterfall (catch-up C70/C71, holding B31, sponsor plug C28=F26-(C27+D27+E27)); Summary (one-page dashboard, audit checks J19:N25, RLV, after-tax, per-party IRR); Determinism, Protection (full unlocked-cell list, password STACK), House rules (currency selectable, no hard symbol), and History (full program plus the stress-test fixes).</t>
  </si>
  <si>
    <t>PROJECT REFERENCE now matches the current workbook; a future session can resume. No model values changed; reconciliations still 0 (Engine B26, Waterfall F39); base case profit 614,633.</t>
  </si>
  <si>
    <t>Asked to explain how the plain-English Summary verdict is derived, especially the 20% target reference, for a non-financial developer.</t>
  </si>
  <si>
    <t>Explained the verdict formula and the target; no model changes.</t>
  </si>
  <si>
    <t>Verdict A3 is a live formula, not typed text. It concatenates: funding route (Inputs C5); project profit (Summary M8 = NDV less total project cost C53 less total finance B21) in the selected currency; profit on cost = M8/(C53+B21) ~19.5%; and a comparison to the target profit on cost (Inputs C47, currently 20%, an input the developer sets, basis SME 15-20%). The IF flips the wording on/above vs below target and the closing nudge. Explained profit on cost as the margin cushion and linked to the break-even block (cost can overrun ~19.5% or GDV fall ~16.3% before zero profit). Offered to add the break-even buffer into the headline sentence if wanted.</t>
  </si>
  <si>
    <t>Explanation given; no changes to the workbook. Reconciliations unaffected (Engine B26=0, Waterfall F39=0).</t>
  </si>
  <si>
    <t>Add the break-even buffer to the plain-English Summary verdict so the developer sees the cushion in the same headline.</t>
  </si>
  <si>
    <t>Extended the Summary verdict formula (A3) with a break-even sentence, guarded for loss cases.</t>
  </si>
  <si>
    <t>Appended to A3: IF(M8&gt;0, ' Sales could fall about '&amp;TEXT(M8/Inputs C25,'0.0%')&amp;' before the scheme breaks even.', ' The scheme is at or below break-even.'). The figure is profit divided by NDV (the GDV-fall-to-break-even), about 16.3% in the base case. Display text only; no calculation cells changed.</t>
  </si>
  <si>
    <t>Verdict now reads '...19.5% profit on cost, below your 20.0% target... Sales could fall about 16.3% before the scheme breaks even.' Summary re-protected; base case unchanged (profit 614,633); reconciliations 0 (Engine B26, Waterfall F39).</t>
  </si>
  <si>
    <t>Layman found the break-even sentence counterintuitive; reword it in plain English.</t>
  </si>
  <si>
    <t>Reworded the break-even clause of the Summary verdict to a plain-English safety-cushion framing.</t>
  </si>
  <si>
    <t>Summary A3 break-even clause changed from 'Sales could fall about X before the scheme breaks even' to 'As a safety cushion, sale values could come in about X below plan before the profit disappears' (X = profit/NDV ~16.3%); loss case now reads 'At these values the scheme makes no profit'. Display text only; no calculation cells changed.</t>
  </si>
  <si>
    <t>Verdict reads in plain English now; Summary re-protected; base case unchanged (profit 614,633); reconciliations 0 (Engine B26, Waterfall F39).</t>
  </si>
  <si>
    <t>DECISION</t>
  </si>
  <si>
    <t>Add a RAG (red/amber/green) colour to the verdict and a Go/Consider/No-Go decision indicator.</t>
  </si>
  <si>
    <t>Added a Decision block to the Summary and applied RAG conditional formatting to both the decision cell and the verdict banner.</t>
  </si>
  <si>
    <t>Summary A18:B20: DECISION band, A19 status = IF(profit&lt;=0, NO GO, IF(profit on cost&gt;=target, GO, IF(profit on cost&gt;=target-5 points, CONSIDER, NO GO))), A20 dynamic reason. Conditional formatting (custom formulas on A19): GO green, CONSIDER amber, NO GO red. Verdict banner A3:N3 tinted to match (subtle green/amber/red) via the same status. Current base = CONSIDER (amber) at 19.5% vs 20% target. Display/formatting only; no calculation cells changed.</t>
  </si>
  <si>
    <t>Renders correctly: amber verdict tint and amber CONSIDER decision. Summary re-protected; base case unchanged (profit 614,633); reconciliations 0 (Engine B26, Waterfall F39).</t>
  </si>
  <si>
    <t>DECISION RULE</t>
  </si>
  <si>
    <t>Consider band (points below target)</t>
  </si>
  <si>
    <t>pts</t>
  </si>
  <si>
    <t>If profit on cost is within this many points below your target, the decision shows CONSIDER (amber); further below shows NO GO (red); at or above target shows GO (green).</t>
  </si>
  <si>
    <t>Make the amber Consider band a developer input, then test the decision RAG with a planned profit (target) of 8% and 30%.</t>
  </si>
  <si>
    <t>Added a Consider-band input on Inputs and pointed the decision rule at it; tested the RAG across all three states.</t>
  </si>
  <si>
    <t>Inputs rows 114-115: Consider band C115 (points below target, default 5%). Summary decision A19 now uses Inputs C115 instead of a hardcoded 5 points. Test: planned profit (target C47) = 8% gives GO (green, profit on cost 19.5% above 8%); = 30% gives NO GO (red, 19.5% more than 5 points below 30%); = 20% gives CONSIDER (amber). Verdict wording flips on or above vs below correctly in each case. Target restored to 20%.</t>
  </si>
  <si>
    <t>All three RAG states verified (GO/CONSIDER/NO GO). Consider band is now developer-controlled. Base case restored (target 20%, CONSIDER, profit 614,633); reconciliations 0; sheets re-protected.</t>
  </si>
  <si>
    <t>User noted the verdict read similarly across targets; take another pass to make the decision section more differentiated, tested at 8, 20 and 30%.</t>
  </si>
  <si>
    <t>Rewrote the Summary verdict to be graduated: it now states the gap to target in percentage points and scales the language and call. Fixed a points-scaling bug (needed x100).</t>
  </si>
  <si>
    <t>Summary A3 verdict now reads: profit, profit on cost, then 'That is X.X points above/below your Y% target' followed by a graduated call - comfortably clears (strong margin, Go) / clears (Go) / just short (viable but thin, Consider) / well short (numbers do not work, No Go) / loses money (No Go) - using the gap versus the Consider band C115, then the safety-cushion sentence. Decision reason A20 now shows the live gap '(X.X points above/below target)'. Gap displayed in percentage points (gap x100). Decision word A19 and RAG colours unchanged.</t>
  </si>
  <si>
    <t>Tested: 8% target = GO, 11.5 points above, comfortably clears; 20% = CONSIDER, 0.5 points below, just short; 30% = NO GO, 10.5 points below, well short. All three now read distinctly. Reverted target to 20% (CONSIDER, base). Display only; profit 614,633 unchanged; reconciliations 0; Summary re-protected.</t>
  </si>
  <si>
    <t>User questioned whether the points system in the verdict works; verify and fix.</t>
  </si>
  <si>
    <t>Re-read the live cells, found a display-rounding inconsistency in the gap-to-target points, and fixed it so the gap always reconciles with the shown percentages.</t>
  </si>
  <si>
    <t>Finding: profit on cost is 19.46% (shown 19.5%) vs 20.0% target; true gap 0.54 points but it displayed 0.5 because profit on cost and the gap were each rounded to one decimal independently, which could disagree by 0.1 in some cases. Fix: the displayed gap in Summary A3 and A20 is now ROUND(profit on cost x100,1) minus ROUND(target x100,1) - the difference of the two displayed percentages - so it always adds up to what the reader sees. Added an 'in line with your target' phrase when the rounded gap is zero. The GO/CONSIDER/NO GO decision still uses the true (unrounded) gap versus the Consider band for accuracy.</t>
  </si>
  <si>
    <t>Verified across targets: 8% = GO (11.5 points above), 19.5% = in line, 20% = CONSIDER (0.5 points below), 30% = NO GO (10.5 points below) - all reconcile with the shown percentages. Target restored to 20%; display only; profit 614,633 unchanged; reconciliations 0; Summary re-protected.</t>
  </si>
  <si>
    <t>User asked whether '0.5 points below' adequately explains the Consider call; refine the wording so it fits.</t>
  </si>
  <si>
    <t>Graduated the Consider explanation so a near-miss reads differently from a deeper miss; decision logic unchanged.</t>
  </si>
  <si>
    <t>Summary A3: the Consider zone now splits at half the band (C115/2). If profit on cost is within the top half of the band below target it reads 'marginally under your target, broadly in line, so treat it as Consider'; if in the lower half it reads 'below your target, so the margin is thinner than you would like, a Consider'. Go and No Go wording unchanged. This fixes the previous 'viable but thin' which overstated the concern for a 0.5-point miss. Decision word and RAG colours unchanged; the call still keys off the true gap versus the band.</t>
  </si>
  <si>
    <t>Tested: 20% target (0.5 below) reads 'marginally under, broadly in line'; 23% (3.5 below) reads 'thinner than you would like'; 8% Go; 30% No Go. Reads coherently now. Target restored to 20%; display only; profit 614,633 unchanged; reconciliations 0; Summary re-protected.</t>
  </si>
  <si>
    <t>GDV C23, sales costs C24, NDV derived C25 (now also grown by sales growth), construction C26, professional fees C27, statutory C28, acquisition and legal C29, land value C30, SDLT C31, programme C32, construction start C33, end C34, completion C35, DM fee C38, senior LTC C39, senior LTGDV C40, senior rate C41, arrangement C42, exit C43, preferred return C44, partner cash split C45, residual to capital C46, target profit on cost C47. Improvement-program inputs: hurdle basis C59 and EM hurdle C60; pre-sales switch C63 and proportion C64; corporation tax rate C67; GP catch-up C70 and carry C71; reporting currency C78 (derived symbol C79, code C80); contingency C83; void holding per month C86; interest basis C89; build profile C92; build inflation C95 and sales growth C96; funding sequence C100; decision Consider band C115 (profit on cost points below target before the call drops from Consider to No Go). Net saleable area C74 and plots C75 are derived from the optional unit-mix table A102:E112. Effective build cost C97 = build x (1+contingency) x (1+inflation) to construction midpoint, used by C51.</t>
  </si>
  <si>
    <t>Redesigned as a one-page dashboard. Rows 1-3 title and live verdict; row 4 dynamic currency banner. Three panels (rows 5-25): Scheme and Timing; Sources and Uses (amount, percent, per sq ft, per plot, balancing to total cost, check E25); Return Metrics (Project, Equity, Equity after-tax IRR/MOIC/profit, and per-party contribution, distribution, profit, multiple and IRR at row 17). DECISION block A18-A20: RAG status A19 (GO green / CONSIDER amber / NO GO red) from profit on cost versus target and the Consider band C115, with a live gap-to-target reason A20. The verdict A3 and the decision word carry RAG conditional formatting; A3 states the gap in points (reconciled to the shown percentages), a graduated call (comfortably clears, clears, marginally under broadly in line, thinner than you would like, well short, or loses money), and a plain-English safety-cushion line. AUDIT CHECKS J19:N25 (six OK/CHECK). Below: Credit and margin, Viability, Residual Land Value (34-36), After-tax returns (47-51), 5-way routes (37-44). Charts: Uses doughnut, Profit by party. Load-bearing profit cell M8.</t>
  </si>
  <si>
    <t>Every model tab and the workbook structure are protected with the password STACK. Unlocked yellow Inputs cells: C5 to C11, C21, C23 to C24, C26 to C35, C38 to C47, C59 to C60, C63 to C64, C67, C70 to C71, C78, C83, C86, C89, C92, C95 to C96, C100, C115, and the unit-mix inputs A104 to D109. C74 and C75 are derived (locked). Claude Log is unprotected. To edit: Review then Unprotect Sheet (password STACK); to re-lock, Protect Sheet (password STACK).</t>
  </si>
  <si>
    <t>Built over many turns: tab colours and banners; guided Input tab; Cashflow and engine restructure; verdict and 5-way comparison; Inputs UI. Benchmarked against five external templates; added time-based IRR and equity multiple, a credit and margin block, a JV hurdle-basis toggle, full off-plan pre-sales, an after-tax layer and a GP catch-up and carry. Redesigned the Summary into a one-page dashboard. Then a twelve-item improvement program: selectable currency; Tier 1 contingency, residual land value, sell-down void cost; Tier 2 average-balance interest, S-curve drawdown, inflation and sales growth, equity-first; Tier 3 break-even headroom, per-party IRR, unit-mix schedule; Tier 4 audit flags. A combined 18-scenario stress test found and fixed two edge-case faults (IRR/EM guards; waterfall sponsor-plug for zero-equity distribution). Then a developer-facing layer: a RAG verdict and a Go/Consider/No-Go decision block from profit on cost versus the target and a developer-set Consider band C115, with graduated wording, a gap-in-points that reconciles to the shown figures, and a break-even safety cushion. Every feature gated or one-way; base case unchanged (profit about 614,633 in the selected currency); all reconciliations 0. Open item: fold into the appraisal engine and the PULSE baseline handoff.</t>
  </si>
  <si>
    <t>User asked to confirm the log and PROJECT REFERENCE are updated.</t>
  </si>
  <si>
    <t>Confirmed the turn log is current and topped up the PROJECT REFERENCE for the developer-facing decision layer added since the last refresh.</t>
  </si>
  <si>
    <t>Turn log: every turn (1-48) is recorded. PROJECT REFERENCE was last refreshed at turn 39; updated the Key input addresses (added Consider band C115), the Summary entry (DECISION block A18-A20 with RAG, the graduated RAG verdict and gap-in-points), Protection (added C115 to the unlocked list), and History (added the developer-facing RAG verdict and Go/Consider/No-Go layer). Reference now matches the current workbook.</t>
  </si>
  <si>
    <t>Log and PROJECT REFERENCE both current. No model values changed; reconciliations 0 (Engine B26, Waterfall F39); base case profit 614,633; sheets protected.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</si>
</sst>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0.0%\);\-"/>
    <numFmt numFmtId="165" formatCode="0.00\x"/>
    <numFmt numFmtId="167" formatCode="0.00%;\(0.00%\);\-"/>
    <numFmt numFmtId="168" formatCode="0.00&quot; yr&quot;"/>
    <numFmt numFmtId="169" formatCode="dd\ mmm\ yyyy"/>
    <numFmt numFmtId="170" formatCode="mmm\ yy"/>
    <numFmt numFmtId="174" formatCode="yyyy\-mm\-dd"/>
    <numFmt numFmtId="175" formatCode="0.0\x"/>
    <numFmt numFmtId="176" formatCode="#,##0;\(#,##0\);\-"/>
    <numFmt numFmtId="177" formatCode="mmm\-yyyy"/>
    <numFmt numFmtId="179" formatCode="#,##0;&quot;(&quot;#,##0\);\-"/>
    <numFmt numFmtId="180" formatCode="#,##0.0;\(#,##0.0\);\-"/>
    <numFmt numFmtId="181" formatCode="#,##0;\(#,##0\);&quot;-&quot;"/>
  </numFmts>
  <fonts count="67" x14ac:knownFonts="1">
    <font>
      <sz val="11"/>
      <color theme="1"/>
      <name val="Calibri"/>
      <family val="2"/>
      <charset val="1"/>
    </font>
    <font>
      <b/>
      <sz val="16"/>
      <color rgb="FF1B2A4A"/>
      <name val="Arial"/>
      <charset val="1"/>
    </font>
    <font>
      <i/>
      <sz val="9"/>
      <color rgb="FF1B2A4A"/>
      <name val="Arial"/>
      <charset val="1"/>
    </font>
    <font>
      <b/>
      <sz val="10"/>
      <color rgb="FF376183"/>
      <name val="Arial"/>
      <charset val="1"/>
    </font>
    <font>
      <sz val="10"/>
      <color rgb="FF000000"/>
      <name val="Arial"/>
      <charset val="1"/>
    </font>
    <font>
      <b/>
      <sz val="11"/>
      <color rgb="FFFFFFFF"/>
      <name val="Arial"/>
      <charset val="1"/>
    </font>
    <font>
      <b/>
      <sz val="10"/>
      <color rgb="FF000000"/>
      <name val="Arial"/>
      <charset val="1"/>
    </font>
    <font>
      <b/>
      <sz val="11"/>
      <color rgb="FF376183"/>
      <name val="Arial"/>
      <charset val="1"/>
    </font>
    <font>
      <sz val="10"/>
      <color rgb="FF008000"/>
      <name val="Arial"/>
      <charset val="1"/>
    </font>
    <font>
      <b/>
      <sz val="10"/>
      <color rgb="FF1B2A4A"/>
      <name val="Arial"/>
      <charset val="1"/>
    </font>
    <font>
      <i/>
      <sz val="9"/>
      <color rgb="FF5A5A5A"/>
      <name val="Arial"/>
      <charset val="1"/>
    </font>
    <font>
      <sz val="10"/>
      <color rgb="FF0000FF"/>
      <name val="Arial"/>
      <charset val="1"/>
    </font>
    <font>
      <sz val="9"/>
      <color rgb="FF5A5A5A"/>
      <name val="Arial"/>
      <charset val="1"/>
    </font>
    <font>
      <b/>
      <sz val="10"/>
      <color rgb="FF008000"/>
      <name val="Arial"/>
      <charset val="1"/>
    </font>
    <font>
      <b/>
      <sz val="9"/>
      <color rgb="FF1B2A4A"/>
      <name val="Arial"/>
      <charset val="1"/>
    </font>
    <font>
      <sz val="9"/>
      <color rgb="FF000000"/>
      <name val="Arial"/>
      <charset val="1"/>
    </font>
    <font>
      <i/>
      <sz val="10"/>
      <color rgb="FF000000"/>
      <name val="Arial"/>
      <charset val="1"/>
    </font>
    <font>
      <sz val="10"/>
      <color rgb="FF1B2A4A"/>
      <name val="Arial"/>
      <charset val="1"/>
    </font>
    <font>
      <b/>
      <sz val="9"/>
      <color rgb="FFFFFFFF"/>
      <name val="Arial"/>
      <charset val="1"/>
    </font>
    <font>
      <b/>
      <sz val="10"/>
      <color rgb="FF0000FF"/>
      <name val="Arial"/>
      <charset val="1"/>
    </font>
    <font>
      <b/>
      <sz val="16"/>
      <color rgb="FFFFFFFF"/>
      <name val="Arial"/>
      <charset val="1"/>
    </font>
    <font>
      <i/>
      <sz val="9"/>
      <color rgb="FFFFFFFF"/>
      <name val="Arial"/>
      <charset val="1"/>
    </font>
    <font>
      <sz val="10"/>
      <color theme="1"/>
      <name val="Arial"/>
    </font>
    <font>
      <sz val="10"/>
      <color rgb="FF000000"/>
      <name val="Arial"/>
    </font>
    <font>
      <b/>
      <sz val="16"/>
      <color rgb="FFFFFFFF"/>
      <name val="Arial"/>
    </font>
    <font>
      <i/>
      <sz val="9"/>
      <color rgb="FFFFFFFF"/>
      <name val="Arial"/>
    </font>
    <font>
      <b/>
      <sz val="10"/>
      <color rgb="FFFFFFFF"/>
      <name val="Arial"/>
    </font>
    <font>
      <b/>
      <sz val="10"/>
      <color theme="1"/>
      <name val="Arial"/>
    </font>
    <font>
      <sz val="10"/>
      <color rgb="FF008000"/>
      <name val="Arial"/>
    </font>
    <font>
      <b/>
      <sz val="11"/>
      <color rgb="FF1B2A4A"/>
      <name val="Arial"/>
      <family val="2"/>
    </font>
    <font>
      <sz val="10"/>
      <color rgb="FF000000"/>
      <name val="Arial"/>
      <family val="2"/>
    </font>
    <font>
      <b/>
      <sz val="11"/>
      <color rgb="FFFFFFFF"/>
      <name val="Arial"/>
      <family val="2"/>
    </font>
    <font>
      <b/>
      <sz val="10"/>
      <color rgb="FF000000"/>
      <name val="Arial"/>
      <family val="2"/>
    </font>
    <font>
      <b/>
      <sz val="10"/>
      <color rgb="FF008000"/>
      <name val="Arial"/>
      <family val="2"/>
    </font>
    <font>
      <b/>
      <sz val="10"/>
      <color rgb="FF1B2A4A"/>
      <name val="Arial"/>
      <family val="2"/>
    </font>
    <font>
      <sz val="10"/>
      <color rgb="FF008000"/>
      <name val="Arial"/>
      <family val="2"/>
    </font>
    <font>
      <i/>
      <sz val="9"/>
      <color rgb="FF5A5A5A"/>
      <name val="Arial"/>
      <family val="2"/>
    </font>
    <font>
      <sz val="10"/>
      <color theme="1"/>
      <name val="Arial"/>
      <family val="2"/>
    </font>
    <font>
      <sz val="10"/>
      <color rgb="FF1B2A4A"/>
      <name val="Arial"/>
      <family val="2"/>
    </font>
    <font>
      <b/>
      <sz val="10"/>
      <color rgb="FFFFFFFF"/>
      <name val="Arial"/>
      <family val="2"/>
    </font>
    <font>
      <b/>
      <sz val="16"/>
      <color rgb="FF1B2A4A"/>
      <name val="Arial"/>
      <family val="2"/>
    </font>
    <font>
      <i/>
      <sz val="9"/>
      <color rgb="FF1B2A4A"/>
      <name val="Arial"/>
      <family val="2"/>
    </font>
    <font>
      <sz val="9"/>
      <color rgb="FF5A5A5A"/>
      <name val="Arial"/>
      <family val="2"/>
    </font>
    <font>
      <sz val="10"/>
      <color rgb="FF0000FF"/>
      <name val="Arial"/>
      <family val="2"/>
    </font>
    <font>
      <sz val="10"/>
      <color rgb="FF333333"/>
      <name val="Arial"/>
      <family val="2"/>
    </font>
    <font>
      <sz val="11"/>
      <color theme="1"/>
      <name val="Arial"/>
    </font>
    <font>
      <b/>
      <sz val="11"/>
      <color theme="1"/>
      <name val="Arial"/>
    </font>
    <font>
      <i/>
      <sz val="10"/>
      <color rgb="FF7F7F7F"/>
      <name val="Arial"/>
    </font>
    <font>
      <b/>
      <sz val="11"/>
      <color rgb="FFFFFFFF"/>
      <name val="Arial"/>
    </font>
    <font>
      <i/>
      <sz val="9"/>
      <color rgb="FF7F7F7F"/>
      <name val="Arial"/>
    </font>
    <font>
      <sz val="10"/>
      <color rgb="FF1B2A4A"/>
      <name val="Arial"/>
    </font>
    <font>
      <sz val="10"/>
      <color rgb="FF0000FF"/>
      <name val="Arial"/>
    </font>
    <font>
      <i/>
      <sz val="9"/>
      <color rgb="FF5A5A5A"/>
      <name val="Arial"/>
    </font>
    <font>
      <sz val="9"/>
      <color rgb="FF5A5A5A"/>
      <name val="Arial"/>
    </font>
    <font>
      <sz val="10"/>
      <color rgb="FFBFBFBF"/>
      <name val="Arial"/>
      <family val="2"/>
    </font>
    <font>
      <b/>
      <sz val="10"/>
      <color rgb="FF008000"/>
      <name val="Arial"/>
    </font>
    <font>
      <b/>
      <sz val="9"/>
      <color rgb="FF1B2A4A"/>
      <name val="Arial"/>
    </font>
    <font>
      <b/>
      <sz val="8"/>
      <color rgb="FF5A5A5A"/>
      <name val="Arial"/>
    </font>
    <font>
      <b/>
      <sz val="10"/>
      <color rgb="FF1B2A4A"/>
      <name val="Arial"/>
    </font>
    <font>
      <b/>
      <sz val="10"/>
      <color rgb="FF000000"/>
      <name val="Arial"/>
    </font>
    <font>
      <b/>
      <sz val="8"/>
      <color rgb="FF5A5A5A"/>
      <name val="Arial"/>
      <family val="2"/>
    </font>
    <font>
      <i/>
      <sz val="8"/>
      <color rgb="FF7F7F7F"/>
      <name val="Arial"/>
      <family val="2"/>
    </font>
    <font>
      <b/>
      <sz val="10"/>
      <color rgb="FFBFBFBF"/>
      <name val="Arial"/>
      <family val="2"/>
    </font>
    <font>
      <i/>
      <sz val="9"/>
      <color rgb="FF7F7F7F"/>
      <name val="Arial"/>
      <family val="2"/>
    </font>
    <font>
      <b/>
      <sz val="9"/>
      <color rgb="FF1B2A4A"/>
      <name val="Arial"/>
      <family val="2"/>
    </font>
    <font>
      <b/>
      <sz val="10"/>
      <color theme="1"/>
      <name val="Arial"/>
      <family val="2"/>
    </font>
    <font>
      <b/>
      <sz val="18"/>
      <color theme="1"/>
      <name val="Arial"/>
      <family val="2"/>
    </font>
  </fonts>
  <fills count="19">
    <fill>
      <patternFill patternType="none"/>
    </fill>
    <fill>
      <patternFill patternType="gray125"/>
    </fill>
    <fill>
      <patternFill patternType="solid">
        <fgColor rgb="FFF4C031"/>
        <bgColor rgb="FFFF9900"/>
      </patternFill>
    </fill>
    <fill>
      <patternFill patternType="solid">
        <fgColor rgb="FF376183"/>
        <bgColor rgb="FF5A5A5A"/>
      </patternFill>
    </fill>
    <fill>
      <patternFill patternType="solid">
        <fgColor rgb="FFF2F0F4"/>
        <bgColor rgb="FFFFFFFF"/>
      </patternFill>
    </fill>
    <fill>
      <patternFill patternType="solid">
        <fgColor rgb="FFB5BCCA"/>
        <bgColor rgb="FFCCCCFF"/>
      </patternFill>
    </fill>
    <fill>
      <patternFill patternType="solid">
        <fgColor rgb="FF1F7A44"/>
        <bgColor indexed="64"/>
      </patternFill>
    </fill>
    <fill>
      <patternFill patternType="solid">
        <fgColor rgb="FFF4C031"/>
        <bgColor indexed="64"/>
      </patternFill>
    </fill>
    <fill>
      <patternFill patternType="solid">
        <fgColor rgb="FFB23B3B"/>
        <bgColor indexed="64"/>
      </patternFill>
    </fill>
    <fill>
      <patternFill patternType="solid">
        <fgColor rgb="FFFFF2CC"/>
        <bgColor indexed="64"/>
      </patternFill>
    </fill>
    <fill>
      <patternFill patternType="solid">
        <fgColor rgb="FFECECEC"/>
        <bgColor indexed="64"/>
      </patternFill>
    </fill>
    <fill>
      <patternFill patternType="solid">
        <fgColor rgb="FF376183"/>
        <bgColor indexed="64"/>
      </patternFill>
    </fill>
    <fill>
      <patternFill patternType="solid">
        <fgColor rgb="FFFBF7EC"/>
        <bgColor indexed="64"/>
      </patternFill>
    </fill>
    <fill>
      <patternFill patternType="solid">
        <fgColor rgb="FFF2F0F4"/>
        <bgColor indexed="64"/>
      </patternFill>
    </fill>
    <fill>
      <patternFill patternType="solid">
        <fgColor rgb="FFE8EEF5"/>
        <bgColor indexed="64"/>
      </patternFill>
    </fill>
    <fill>
      <patternFill patternType="solid">
        <fgColor rgb="FFFBF4D6"/>
        <bgColor indexed="64"/>
      </patternFill>
    </fill>
    <fill>
      <patternFill patternType="solid">
        <fgColor rgb="FFFFFFFF"/>
        <bgColor indexed="64"/>
      </patternFill>
    </fill>
    <fill>
      <patternFill patternType="solid">
        <fgColor rgb="FFDCE2EC"/>
        <bgColor indexed="64"/>
      </patternFill>
    </fill>
    <fill>
      <patternFill patternType="solid">
        <fgColor rgb="FFEFF3F8"/>
        <bgColor indexed="64"/>
      </patternFill>
    </fill>
  </fills>
  <borders count="16">
    <border>
      <left/>
      <right/>
      <top/>
      <bottom/>
      <diagonal/>
    </border>
    <border>
      <left style="thin">
        <color rgb="FFB5BCCA"/>
      </left>
      <right style="thin">
        <color rgb="FFB5BCCA"/>
      </right>
      <top style="thin">
        <color rgb="FFB5BCCA"/>
      </top>
      <bottom style="thin">
        <color rgb="FFB5BCCA"/>
      </bottom>
      <diagonal/>
    </border>
    <border>
      <left/>
      <right/>
      <top style="thin">
        <color auto="1"/>
      </top>
      <bottom/>
      <diagonal/>
    </border>
    <border>
      <left/>
      <right/>
      <top style="thin">
        <color rgb="FFB5BCCA"/>
      </top>
      <bottom/>
      <diagonal/>
    </border>
    <border>
      <left/>
      <right/>
      <top style="thin">
        <color auto="1"/>
      </top>
      <bottom style="thin">
        <color auto="1"/>
      </bottom>
      <diagonal/>
    </border>
    <border>
      <left style="thin">
        <color rgb="FFB5BCCA"/>
      </left>
      <right style="thin">
        <color rgb="FFB5BCCA"/>
      </right>
      <top/>
      <bottom/>
      <diagonal/>
    </border>
    <border>
      <left/>
      <right/>
      <top style="thin">
        <color rgb="FFB5BCCA"/>
      </top>
      <bottom style="thin">
        <color rgb="FFB5BCCA"/>
      </bottom>
      <diagonal/>
    </border>
    <border>
      <left/>
      <right/>
      <top/>
      <bottom style="thin">
        <color rgb="FFB5BCCA"/>
      </bottom>
      <diagonal/>
    </border>
    <border>
      <left style="thin">
        <color rgb="FFB5BCCA"/>
      </left>
      <right/>
      <top style="thin">
        <color rgb="FFB5BCCA"/>
      </top>
      <bottom style="thin">
        <color rgb="FFB5BCCA"/>
      </bottom>
      <diagonal/>
    </border>
    <border>
      <left style="thin">
        <color rgb="FFB5BCCA"/>
      </left>
      <right/>
      <top style="thin">
        <color rgb="FFB5BCCA"/>
      </top>
      <bottom/>
      <diagonal/>
    </border>
    <border>
      <left style="thin">
        <color rgb="FFB5BCCA"/>
      </left>
      <right/>
      <top/>
      <bottom style="thin">
        <color rgb="FFB5BCCA"/>
      </bottom>
      <diagonal/>
    </border>
    <border>
      <left/>
      <right style="thin">
        <color rgb="FFB5BCCA"/>
      </right>
      <top style="thin">
        <color rgb="FFB5BCCA"/>
      </top>
      <bottom/>
      <diagonal/>
    </border>
    <border>
      <left/>
      <right style="thin">
        <color rgb="FFB5BCCA"/>
      </right>
      <top/>
      <bottom style="thin">
        <color rgb="FFB5BCCA"/>
      </bottom>
      <diagonal/>
    </border>
    <border>
      <left/>
      <right style="thin">
        <color rgb="FFB5BCCA"/>
      </right>
      <top style="thin">
        <color rgb="FFB5BCCA"/>
      </top>
      <bottom style="thin">
        <color rgb="FFB5BCCA"/>
      </bottom>
      <diagonal/>
    </border>
    <border>
      <left style="thin">
        <color rgb="FFB5BCCA"/>
      </left>
      <right/>
      <top/>
      <bottom/>
      <diagonal/>
    </border>
    <border>
      <left/>
      <right style="thin">
        <color rgb="FFB5BCCA"/>
      </right>
      <top/>
      <bottom/>
      <diagonal/>
    </border>
  </borders>
  <cellStyleXfs count="1">
    <xf numFmtId="0" fontId="0" fillId="0" borderId="0"/>
  </cellStyleXfs>
  <cellXfs count="290">
    <xf numFmtId="0" fontId="0" fillId="0" borderId="0" xfId="0"/>
    <xf numFmtId="0" fontId="37" fillId="0" borderId="0" xfId="0" applyFont="1"/>
    <xf numFmtId="0" fontId="3" fillId="0" borderId="0" xfId="0" applyFont="1" applyAlignment="1">
      <alignment vertical="top" wrapText="1"/>
    </xf>
    <xf numFmtId="0" fontId="4" fillId="0" borderId="0" xfId="0" applyFont="1" applyAlignment="1">
      <alignment vertical="top" wrapText="1"/>
    </xf>
    <xf numFmtId="165" fontId="9" fillId="0" borderId="1" xfId="0" applyNumberFormat="1" applyFont="1" applyBorder="1" applyAlignment="1">
      <alignment horizontal="right" vertical="center"/>
    </xf>
    <xf numFmtId="170" fontId="26" fillId="11" borderId="0" xfId="0" applyNumberFormat="1" applyFont="1" applyFill="1" applyAlignment="1">
      <alignment horizontal="center"/>
    </xf>
    <xf numFmtId="1" fontId="26" fillId="11" borderId="0" xfId="0" applyNumberFormat="1" applyFont="1" applyFill="1" applyAlignment="1">
      <alignment horizontal="center"/>
    </xf>
    <xf numFmtId="168" fontId="8" fillId="0" borderId="1" xfId="0" applyNumberFormat="1" applyFont="1" applyBorder="1" applyAlignment="1">
      <alignment horizontal="right" vertical="center"/>
    </xf>
    <xf numFmtId="165" fontId="17" fillId="0" borderId="1" xfId="0" applyNumberFormat="1" applyFont="1" applyBorder="1" applyAlignment="1">
      <alignment horizontal="right" vertical="center"/>
    </xf>
    <xf numFmtId="164" fontId="19" fillId="4" borderId="1" xfId="0" applyNumberFormat="1" applyFont="1" applyFill="1" applyBorder="1" applyAlignment="1">
      <alignment horizontal="center" vertical="center"/>
    </xf>
    <xf numFmtId="164" fontId="4" fillId="0" borderId="1" xfId="0" applyNumberFormat="1" applyFont="1" applyBorder="1" applyAlignment="1">
      <alignment horizontal="center" vertical="center"/>
    </xf>
    <xf numFmtId="165" fontId="8" fillId="0" borderId="1" xfId="0" applyNumberFormat="1" applyFont="1" applyBorder="1" applyAlignment="1">
      <alignment horizontal="right" vertical="center"/>
    </xf>
    <xf numFmtId="165" fontId="4" fillId="0" borderId="1" xfId="0" applyNumberFormat="1" applyFont="1" applyBorder="1" applyAlignment="1">
      <alignment horizontal="center" vertical="center"/>
    </xf>
    <xf numFmtId="164" fontId="11" fillId="0" borderId="1" xfId="0" applyNumberFormat="1" applyFont="1" applyBorder="1" applyAlignment="1">
      <alignment horizontal="right" vertical="center"/>
    </xf>
    <xf numFmtId="168" fontId="11" fillId="0" borderId="1" xfId="0" applyNumberFormat="1" applyFont="1" applyBorder="1" applyAlignment="1">
      <alignment horizontal="right" vertical="center"/>
    </xf>
    <xf numFmtId="164" fontId="9" fillId="0" borderId="1" xfId="0" applyNumberFormat="1" applyFont="1" applyBorder="1" applyAlignment="1">
      <alignment horizontal="right" vertical="center"/>
    </xf>
    <xf numFmtId="1" fontId="14" fillId="5" borderId="1" xfId="0" applyNumberFormat="1" applyFont="1" applyFill="1" applyBorder="1" applyAlignment="1">
      <alignment horizontal="center" vertical="center"/>
    </xf>
    <xf numFmtId="167" fontId="8" fillId="0" borderId="1" xfId="0" applyNumberFormat="1" applyFont="1" applyBorder="1" applyAlignment="1">
      <alignment horizontal="right" vertical="center"/>
    </xf>
    <xf numFmtId="0" fontId="39" fillId="11" borderId="0" xfId="0" applyFont="1" applyFill="1"/>
    <xf numFmtId="0" fontId="37" fillId="0" borderId="0" xfId="0" applyFont="1" applyAlignment="1">
      <alignment wrapText="1"/>
    </xf>
    <xf numFmtId="174" fontId="37" fillId="0" borderId="0" xfId="0" applyNumberFormat="1" applyFont="1"/>
    <xf numFmtId="174" fontId="0" fillId="0" borderId="0" xfId="0" applyNumberFormat="1"/>
    <xf numFmtId="164" fontId="43" fillId="9" borderId="1" xfId="0" applyNumberFormat="1" applyFont="1" applyFill="1" applyBorder="1" applyAlignment="1" applyProtection="1">
      <alignment horizontal="right" vertical="center"/>
      <protection locked="0"/>
    </xf>
    <xf numFmtId="1" fontId="43" fillId="9" borderId="1" xfId="0" applyNumberFormat="1" applyFont="1" applyFill="1" applyBorder="1" applyAlignment="1" applyProtection="1">
      <alignment horizontal="right" vertical="center"/>
      <protection locked="0"/>
    </xf>
    <xf numFmtId="164" fontId="33" fillId="10" borderId="1" xfId="0" applyNumberFormat="1" applyFont="1" applyFill="1" applyBorder="1" applyAlignment="1">
      <alignment horizontal="right" vertical="center"/>
    </xf>
    <xf numFmtId="169" fontId="43" fillId="9" borderId="1" xfId="0" applyNumberFormat="1" applyFont="1" applyFill="1" applyBorder="1" applyAlignment="1" applyProtection="1">
      <alignment horizontal="right" vertical="center"/>
      <protection locked="0"/>
    </xf>
    <xf numFmtId="1" fontId="30" fillId="10" borderId="1" xfId="0" applyNumberFormat="1" applyFont="1" applyFill="1" applyBorder="1" applyAlignment="1">
      <alignment horizontal="right" vertical="center"/>
    </xf>
    <xf numFmtId="164" fontId="30" fillId="10" borderId="1" xfId="0" applyNumberFormat="1" applyFont="1" applyFill="1" applyBorder="1" applyAlignment="1">
      <alignment horizontal="right" vertical="center"/>
    </xf>
    <xf numFmtId="164" fontId="43" fillId="9" borderId="0" xfId="0" applyNumberFormat="1" applyFont="1" applyFill="1" applyAlignment="1" applyProtection="1">
      <alignment horizontal="right" vertical="center"/>
      <protection locked="0"/>
    </xf>
    <xf numFmtId="0" fontId="37" fillId="0" borderId="0" xfId="0" applyFont="1" applyAlignment="1">
      <alignment vertical="top"/>
    </xf>
    <xf numFmtId="174" fontId="37" fillId="0" borderId="0" xfId="0" applyNumberFormat="1" applyFont="1" applyAlignment="1">
      <alignment vertical="top"/>
    </xf>
    <xf numFmtId="0" fontId="37" fillId="0" borderId="0" xfId="0" applyFont="1" applyAlignment="1">
      <alignment vertical="top" wrapText="1"/>
    </xf>
    <xf numFmtId="0" fontId="34" fillId="0" borderId="0" xfId="0" applyFont="1" applyAlignment="1">
      <alignment vertical="top" wrapText="1"/>
    </xf>
    <xf numFmtId="0" fontId="44" fillId="0" borderId="0" xfId="0" applyFont="1" applyAlignment="1">
      <alignment vertical="top" wrapText="1"/>
    </xf>
    <xf numFmtId="0" fontId="31" fillId="11" borderId="0" xfId="0" applyFont="1" applyFill="1" applyAlignment="1">
      <alignment vertical="center"/>
    </xf>
    <xf numFmtId="0" fontId="5" fillId="3" borderId="0" xfId="0" applyFont="1" applyFill="1" applyAlignment="1">
      <alignment horizontal="left" vertical="center"/>
    </xf>
    <xf numFmtId="0" fontId="1" fillId="2" borderId="0" xfId="0" applyFont="1" applyFill="1" applyAlignment="1">
      <alignment horizontal="left" vertical="center"/>
    </xf>
    <xf numFmtId="0" fontId="2" fillId="2" borderId="0" xfId="0" applyFont="1" applyFill="1" applyAlignment="1">
      <alignment horizontal="left" vertical="center" wrapText="1"/>
    </xf>
    <xf numFmtId="0" fontId="0" fillId="0" borderId="0" xfId="0" applyProtection="1"/>
    <xf numFmtId="17" fontId="45" fillId="0" borderId="0" xfId="0" applyNumberFormat="1" applyFont="1" applyProtection="1"/>
    <xf numFmtId="164" fontId="46" fillId="0" borderId="0" xfId="0" applyNumberFormat="1" applyFont="1" applyProtection="1"/>
    <xf numFmtId="165" fontId="45" fillId="0" borderId="0" xfId="0" applyNumberFormat="1" applyFont="1" applyProtection="1"/>
    <xf numFmtId="165" fontId="28" fillId="0" borderId="0" xfId="0" applyNumberFormat="1" applyFont="1" applyBorder="1" applyAlignment="1" applyProtection="1">
      <alignment horizontal="right" vertical="center"/>
    </xf>
    <xf numFmtId="164" fontId="28" fillId="0" borderId="0" xfId="0" applyNumberFormat="1" applyFont="1" applyBorder="1" applyAlignment="1" applyProtection="1">
      <alignment horizontal="right" vertical="center"/>
    </xf>
    <xf numFmtId="0" fontId="0" fillId="0" borderId="1" xfId="0" applyBorder="1" applyProtection="1"/>
    <xf numFmtId="165" fontId="51" fillId="9" borderId="1" xfId="0" applyNumberFormat="1" applyFont="1" applyFill="1" applyBorder="1" applyAlignment="1" applyProtection="1">
      <alignment horizontal="right"/>
      <protection locked="0"/>
    </xf>
    <xf numFmtId="164" fontId="51" fillId="9" borderId="1" xfId="0" applyNumberFormat="1" applyFont="1" applyFill="1" applyBorder="1" applyAlignment="1" applyProtection="1">
      <alignment horizontal="right"/>
      <protection locked="0"/>
    </xf>
    <xf numFmtId="0" fontId="0" fillId="0" borderId="15" xfId="0" applyBorder="1" applyProtection="1"/>
    <xf numFmtId="164" fontId="28" fillId="0" borderId="0" xfId="0" applyNumberFormat="1" applyFont="1" applyBorder="1" applyProtection="1"/>
    <xf numFmtId="165" fontId="28" fillId="0" borderId="0" xfId="0" applyNumberFormat="1" applyFont="1" applyBorder="1" applyProtection="1"/>
    <xf numFmtId="164" fontId="22" fillId="0" borderId="0" xfId="0" applyNumberFormat="1" applyFont="1" applyBorder="1" applyProtection="1"/>
    <xf numFmtId="164" fontId="55" fillId="0" borderId="0" xfId="0" applyNumberFormat="1" applyFont="1" applyBorder="1" applyProtection="1"/>
    <xf numFmtId="165" fontId="55" fillId="0" borderId="0" xfId="0" applyNumberFormat="1" applyFont="1" applyBorder="1" applyProtection="1"/>
    <xf numFmtId="176" fontId="28" fillId="0" borderId="15" xfId="0" applyNumberFormat="1" applyFont="1" applyBorder="1" applyAlignment="1" applyProtection="1">
      <alignment horizontal="right"/>
    </xf>
    <xf numFmtId="0" fontId="0" fillId="0" borderId="0" xfId="0" applyBorder="1" applyProtection="1"/>
    <xf numFmtId="177" fontId="28" fillId="0" borderId="15" xfId="0" applyNumberFormat="1" applyFont="1" applyBorder="1" applyAlignment="1" applyProtection="1">
      <alignment horizontal="right"/>
    </xf>
    <xf numFmtId="164" fontId="27" fillId="0" borderId="0" xfId="0" applyNumberFormat="1" applyFont="1" applyBorder="1" applyProtection="1"/>
    <xf numFmtId="164" fontId="28" fillId="0" borderId="12" xfId="0" applyNumberFormat="1" applyFont="1" applyBorder="1" applyAlignment="1" applyProtection="1">
      <alignment horizontal="right"/>
    </xf>
    <xf numFmtId="165" fontId="28" fillId="0" borderId="7" xfId="0" applyNumberFormat="1" applyFont="1" applyBorder="1" applyProtection="1"/>
    <xf numFmtId="0" fontId="31" fillId="11" borderId="9" xfId="0" applyFont="1" applyFill="1" applyBorder="1" applyProtection="1"/>
    <xf numFmtId="0" fontId="31" fillId="11" borderId="3" xfId="0" applyFont="1" applyFill="1" applyBorder="1" applyProtection="1"/>
    <xf numFmtId="0" fontId="31" fillId="11" borderId="11" xfId="0" applyFont="1" applyFill="1" applyBorder="1" applyProtection="1"/>
    <xf numFmtId="0" fontId="38" fillId="0" borderId="14" xfId="0" applyFont="1" applyBorder="1" applyProtection="1"/>
    <xf numFmtId="164" fontId="33" fillId="0" borderId="0" xfId="0" applyNumberFormat="1" applyFont="1" applyBorder="1" applyProtection="1"/>
    <xf numFmtId="164" fontId="35" fillId="0" borderId="0" xfId="0" applyNumberFormat="1" applyFont="1" applyBorder="1" applyProtection="1"/>
    <xf numFmtId="164" fontId="30" fillId="0" borderId="0" xfId="0" applyNumberFormat="1" applyFont="1" applyBorder="1" applyProtection="1"/>
    <xf numFmtId="164" fontId="32" fillId="0" borderId="0" xfId="0" applyNumberFormat="1" applyFont="1" applyBorder="1" applyProtection="1"/>
    <xf numFmtId="165" fontId="35" fillId="0" borderId="0" xfId="0" applyNumberFormat="1" applyFont="1" applyBorder="1" applyProtection="1"/>
    <xf numFmtId="165" fontId="33" fillId="18" borderId="0" xfId="0" applyNumberFormat="1" applyFont="1" applyFill="1" applyBorder="1" applyProtection="1"/>
    <xf numFmtId="164" fontId="33" fillId="18" borderId="0" xfId="0" applyNumberFormat="1" applyFont="1" applyFill="1" applyBorder="1" applyProtection="1"/>
    <xf numFmtId="0" fontId="31" fillId="11" borderId="0" xfId="0" applyFont="1" applyFill="1" applyAlignment="1" applyProtection="1">
      <alignment horizontal="left"/>
    </xf>
    <xf numFmtId="0" fontId="38" fillId="0" borderId="1" xfId="0" applyFont="1" applyBorder="1" applyProtection="1"/>
    <xf numFmtId="0" fontId="36" fillId="0" borderId="1" xfId="0" applyFont="1" applyBorder="1" applyProtection="1"/>
    <xf numFmtId="0" fontId="38" fillId="0" borderId="1" xfId="0" applyFont="1" applyFill="1" applyBorder="1" applyProtection="1"/>
    <xf numFmtId="0" fontId="40" fillId="7" borderId="0" xfId="0" applyNumberFormat="1" applyFont="1" applyFill="1" applyAlignment="1">
      <alignment horizontal="left" vertical="center"/>
    </xf>
    <xf numFmtId="0" fontId="41" fillId="7" borderId="0" xfId="0" applyNumberFormat="1" applyFont="1" applyFill="1" applyAlignment="1">
      <alignment horizontal="left" vertical="center" wrapText="1"/>
    </xf>
    <xf numFmtId="0" fontId="36" fillId="16" borderId="0" xfId="0" applyNumberFormat="1" applyFont="1" applyFill="1" applyAlignment="1">
      <alignment vertical="center"/>
    </xf>
    <xf numFmtId="0" fontId="31" fillId="11" borderId="0" xfId="0" applyNumberFormat="1" applyFont="1" applyFill="1" applyAlignment="1">
      <alignment horizontal="left" vertical="center"/>
    </xf>
    <xf numFmtId="0" fontId="38" fillId="0" borderId="1" xfId="0" applyNumberFormat="1" applyFont="1" applyBorder="1" applyAlignment="1">
      <alignment vertical="center"/>
    </xf>
    <xf numFmtId="0" fontId="37" fillId="0" borderId="1" xfId="0" applyNumberFormat="1" applyFont="1" applyBorder="1" applyAlignment="1">
      <alignment vertical="center"/>
    </xf>
    <xf numFmtId="0" fontId="43" fillId="9" borderId="1" xfId="0" applyNumberFormat="1" applyFont="1" applyFill="1" applyBorder="1" applyAlignment="1" applyProtection="1">
      <alignment horizontal="right" vertical="center"/>
      <protection locked="0"/>
    </xf>
    <xf numFmtId="0" fontId="42" fillId="0" borderId="1" xfId="0" applyNumberFormat="1" applyFont="1" applyBorder="1" applyAlignment="1">
      <alignment horizontal="center" vertical="center"/>
    </xf>
    <xf numFmtId="0" fontId="36" fillId="0" borderId="1" xfId="0" applyNumberFormat="1" applyFont="1" applyBorder="1" applyAlignment="1">
      <alignment vertical="center"/>
    </xf>
    <xf numFmtId="0" fontId="31" fillId="11" borderId="1" xfId="0" applyNumberFormat="1" applyFont="1" applyFill="1" applyBorder="1" applyAlignment="1">
      <alignment horizontal="left" vertical="center"/>
    </xf>
    <xf numFmtId="0" fontId="38" fillId="0" borderId="5" xfId="0" applyNumberFormat="1" applyFont="1" applyBorder="1" applyAlignment="1">
      <alignment vertical="center"/>
    </xf>
    <xf numFmtId="0" fontId="37" fillId="0" borderId="0" xfId="0" applyNumberFormat="1" applyFont="1" applyAlignment="1">
      <alignment vertical="center"/>
    </xf>
    <xf numFmtId="0" fontId="42" fillId="0" borderId="0" xfId="0" applyNumberFormat="1" applyFont="1" applyAlignment="1">
      <alignment horizontal="center" vertical="center"/>
    </xf>
    <xf numFmtId="0" fontId="36" fillId="0" borderId="0" xfId="0" applyNumberFormat="1" applyFont="1" applyAlignment="1">
      <alignment vertical="center"/>
    </xf>
    <xf numFmtId="0" fontId="31" fillId="11" borderId="0" xfId="0" applyNumberFormat="1" applyFont="1" applyFill="1" applyAlignment="1">
      <alignment horizontal="left" vertical="center"/>
    </xf>
    <xf numFmtId="179" fontId="43" fillId="9" borderId="1" xfId="0" applyNumberFormat="1" applyFont="1" applyFill="1" applyBorder="1" applyAlignment="1" applyProtection="1">
      <alignment horizontal="right" vertical="center"/>
      <protection locked="0"/>
    </xf>
    <xf numFmtId="179" fontId="33" fillId="10" borderId="1" xfId="0" applyNumberFormat="1" applyFont="1" applyFill="1" applyBorder="1" applyAlignment="1">
      <alignment horizontal="right" vertical="center"/>
    </xf>
    <xf numFmtId="0" fontId="38" fillId="0" borderId="0" xfId="0" applyNumberFormat="1" applyFont="1" applyAlignment="1">
      <alignment vertical="center"/>
    </xf>
    <xf numFmtId="0" fontId="0" fillId="0" borderId="0" xfId="0" applyNumberFormat="1"/>
    <xf numFmtId="0" fontId="48" fillId="11" borderId="0" xfId="0" applyNumberFormat="1" applyFont="1" applyFill="1" applyBorder="1" applyAlignment="1" applyProtection="1">
      <alignment horizontal="left" vertical="center"/>
    </xf>
    <xf numFmtId="0" fontId="50" fillId="0" borderId="1" xfId="0" applyNumberFormat="1" applyFont="1" applyFill="1" applyBorder="1" applyAlignment="1" applyProtection="1">
      <alignment vertical="center"/>
    </xf>
    <xf numFmtId="0" fontId="0" fillId="0" borderId="1" xfId="0" applyNumberFormat="1" applyBorder="1" applyProtection="1"/>
    <xf numFmtId="0" fontId="51" fillId="9" borderId="1" xfId="0" applyNumberFormat="1" applyFont="1" applyFill="1" applyBorder="1" applyAlignment="1" applyProtection="1">
      <alignment horizontal="left"/>
      <protection locked="0"/>
    </xf>
    <xf numFmtId="0" fontId="52" fillId="0" borderId="1" xfId="0" applyNumberFormat="1" applyFont="1" applyFill="1" applyBorder="1" applyAlignment="1" applyProtection="1">
      <alignment vertical="center"/>
    </xf>
    <xf numFmtId="0" fontId="53" fillId="0" borderId="1" xfId="0" applyNumberFormat="1" applyFont="1" applyBorder="1" applyAlignment="1" applyProtection="1">
      <alignment horizontal="center"/>
    </xf>
    <xf numFmtId="0" fontId="48" fillId="11" borderId="0" xfId="0" applyNumberFormat="1" applyFont="1" applyFill="1" applyAlignment="1" applyProtection="1">
      <alignment horizontal="left"/>
    </xf>
    <xf numFmtId="0" fontId="50" fillId="0" borderId="1" xfId="0" applyNumberFormat="1" applyFont="1" applyBorder="1" applyProtection="1"/>
    <xf numFmtId="0" fontId="52" fillId="0" borderId="1" xfId="0" applyNumberFormat="1" applyFont="1" applyBorder="1" applyProtection="1"/>
    <xf numFmtId="0" fontId="50" fillId="0" borderId="1" xfId="0" applyNumberFormat="1" applyFont="1" applyFill="1" applyBorder="1" applyProtection="1"/>
    <xf numFmtId="0" fontId="52" fillId="0" borderId="1" xfId="0" applyNumberFormat="1" applyFont="1" applyFill="1" applyBorder="1" applyProtection="1"/>
    <xf numFmtId="0" fontId="31" fillId="11" borderId="0" xfId="0" applyNumberFormat="1" applyFont="1" applyFill="1" applyAlignment="1" applyProtection="1">
      <alignment horizontal="left"/>
    </xf>
    <xf numFmtId="0" fontId="38" fillId="0" borderId="1" xfId="0" applyNumberFormat="1" applyFont="1" applyBorder="1" applyProtection="1"/>
    <xf numFmtId="0" fontId="43" fillId="9" borderId="1" xfId="0" applyNumberFormat="1" applyFont="1" applyFill="1" applyBorder="1" applyAlignment="1" applyProtection="1">
      <alignment horizontal="right"/>
      <protection locked="0"/>
    </xf>
    <xf numFmtId="0" fontId="36" fillId="0" borderId="1" xfId="0" applyNumberFormat="1" applyFont="1" applyBorder="1" applyProtection="1"/>
    <xf numFmtId="0" fontId="38" fillId="0" borderId="1" xfId="0" applyNumberFormat="1" applyFont="1" applyFill="1" applyBorder="1" applyProtection="1"/>
    <xf numFmtId="0" fontId="54" fillId="10" borderId="1" xfId="0" applyNumberFormat="1" applyFont="1" applyFill="1" applyBorder="1" applyAlignment="1" applyProtection="1">
      <alignment horizontal="right"/>
    </xf>
    <xf numFmtId="0" fontId="20" fillId="6" borderId="0" xfId="0" applyNumberFormat="1" applyFont="1" applyFill="1" applyAlignment="1" applyProtection="1">
      <alignment horizontal="left" vertical="center"/>
    </xf>
    <xf numFmtId="0" fontId="0" fillId="0" borderId="0" xfId="0" applyNumberFormat="1" applyProtection="1"/>
    <xf numFmtId="0" fontId="21" fillId="6" borderId="0" xfId="0" applyNumberFormat="1" applyFont="1" applyFill="1" applyAlignment="1" applyProtection="1">
      <alignment horizontal="left" vertical="center" wrapText="1"/>
    </xf>
    <xf numFmtId="0" fontId="29" fillId="15" borderId="0" xfId="0" applyNumberFormat="1" applyFont="1" applyFill="1" applyAlignment="1" applyProtection="1">
      <alignment horizontal="left" vertical="center" wrapText="1"/>
    </xf>
    <xf numFmtId="0" fontId="48" fillId="11" borderId="9" xfId="0" applyNumberFormat="1" applyFont="1" applyFill="1" applyBorder="1" applyProtection="1"/>
    <xf numFmtId="0" fontId="48" fillId="11" borderId="11" xfId="0" applyNumberFormat="1" applyFont="1" applyFill="1" applyBorder="1" applyProtection="1"/>
    <xf numFmtId="0" fontId="48" fillId="11" borderId="3" xfId="0" applyNumberFormat="1" applyFont="1" applyFill="1" applyBorder="1" applyProtection="1"/>
    <xf numFmtId="0" fontId="50" fillId="0" borderId="14" xfId="0" applyNumberFormat="1" applyFont="1" applyBorder="1" applyProtection="1"/>
    <xf numFmtId="0" fontId="55" fillId="0" borderId="15" xfId="0" applyNumberFormat="1" applyFont="1" applyBorder="1" applyAlignment="1" applyProtection="1">
      <alignment horizontal="right"/>
    </xf>
    <xf numFmtId="0" fontId="0" fillId="0" borderId="14" xfId="0" applyNumberFormat="1" applyBorder="1" applyProtection="1"/>
    <xf numFmtId="0" fontId="57" fillId="0" borderId="0" xfId="0" applyNumberFormat="1" applyFont="1" applyBorder="1" applyAlignment="1" applyProtection="1">
      <alignment horizontal="right"/>
    </xf>
    <xf numFmtId="0" fontId="57" fillId="0" borderId="15" xfId="0" applyNumberFormat="1" applyFont="1" applyBorder="1" applyAlignment="1" applyProtection="1">
      <alignment horizontal="right"/>
    </xf>
    <xf numFmtId="0" fontId="0" fillId="0" borderId="15" xfId="0" applyNumberFormat="1" applyBorder="1" applyProtection="1"/>
    <xf numFmtId="176" fontId="55" fillId="0" borderId="15" xfId="0" applyNumberFormat="1" applyFont="1" applyBorder="1" applyProtection="1"/>
    <xf numFmtId="0" fontId="56" fillId="17" borderId="14" xfId="0" applyNumberFormat="1" applyFont="1" applyFill="1" applyBorder="1" applyProtection="1"/>
    <xf numFmtId="0" fontId="0" fillId="17" borderId="0" xfId="0" applyNumberFormat="1" applyFill="1" applyBorder="1" applyProtection="1"/>
    <xf numFmtId="0" fontId="0" fillId="17" borderId="15" xfId="0" applyNumberFormat="1" applyFill="1" applyBorder="1" applyProtection="1"/>
    <xf numFmtId="176" fontId="28" fillId="0" borderId="0" xfId="0" applyNumberFormat="1" applyFont="1" applyBorder="1" applyProtection="1"/>
    <xf numFmtId="176" fontId="28" fillId="0" borderId="15" xfId="0" applyNumberFormat="1" applyFont="1" applyBorder="1" applyProtection="1"/>
    <xf numFmtId="180" fontId="22" fillId="0" borderId="0" xfId="0" applyNumberFormat="1" applyFont="1" applyBorder="1" applyProtection="1"/>
    <xf numFmtId="176" fontId="22" fillId="0" borderId="15" xfId="0" applyNumberFormat="1" applyFont="1" applyBorder="1" applyProtection="1"/>
    <xf numFmtId="0" fontId="58" fillId="0" borderId="14" xfId="0" applyNumberFormat="1" applyFont="1" applyBorder="1" applyProtection="1"/>
    <xf numFmtId="176" fontId="55" fillId="0" borderId="0" xfId="0" applyNumberFormat="1" applyFont="1" applyBorder="1" applyProtection="1"/>
    <xf numFmtId="0" fontId="0" fillId="0" borderId="0" xfId="0" applyNumberFormat="1" applyBorder="1" applyProtection="1"/>
    <xf numFmtId="0" fontId="28" fillId="0" borderId="15" xfId="0" applyNumberFormat="1" applyFont="1" applyBorder="1" applyAlignment="1" applyProtection="1">
      <alignment horizontal="right"/>
    </xf>
    <xf numFmtId="0" fontId="34" fillId="0" borderId="14" xfId="0" applyNumberFormat="1" applyFont="1" applyBorder="1" applyProtection="1"/>
    <xf numFmtId="176" fontId="59" fillId="0" borderId="0" xfId="0" applyNumberFormat="1" applyFont="1" applyBorder="1" applyProtection="1"/>
    <xf numFmtId="180" fontId="27" fillId="0" borderId="0" xfId="0" applyNumberFormat="1" applyFont="1" applyBorder="1" applyProtection="1"/>
    <xf numFmtId="176" fontId="27" fillId="0" borderId="15" xfId="0" applyNumberFormat="1" applyFont="1" applyBorder="1" applyProtection="1"/>
    <xf numFmtId="0" fontId="50" fillId="0" borderId="10" xfId="0" applyNumberFormat="1" applyFont="1" applyBorder="1" applyProtection="1"/>
    <xf numFmtId="0" fontId="49" fillId="0" borderId="14" xfId="0" applyNumberFormat="1" applyFont="1" applyBorder="1" applyProtection="1"/>
    <xf numFmtId="176" fontId="49" fillId="0" borderId="0" xfId="0" applyNumberFormat="1" applyFont="1" applyBorder="1" applyProtection="1"/>
    <xf numFmtId="0" fontId="0" fillId="0" borderId="12" xfId="0" applyNumberFormat="1" applyBorder="1" applyProtection="1"/>
    <xf numFmtId="0" fontId="49" fillId="0" borderId="10" xfId="0" applyNumberFormat="1" applyFont="1" applyBorder="1" applyProtection="1"/>
    <xf numFmtId="176" fontId="49" fillId="0" borderId="7" xfId="0" applyNumberFormat="1" applyFont="1" applyBorder="1" applyProtection="1"/>
    <xf numFmtId="0" fontId="0" fillId="0" borderId="7" xfId="0" applyNumberFormat="1" applyBorder="1" applyProtection="1"/>
    <xf numFmtId="0" fontId="31" fillId="11" borderId="9" xfId="0" applyNumberFormat="1" applyFont="1" applyFill="1" applyBorder="1" applyProtection="1"/>
    <xf numFmtId="0" fontId="31" fillId="11" borderId="3" xfId="0" applyNumberFormat="1" applyFont="1" applyFill="1" applyBorder="1" applyProtection="1"/>
    <xf numFmtId="0" fontId="31" fillId="11" borderId="11" xfId="0" applyNumberFormat="1" applyFont="1" applyFill="1" applyBorder="1" applyProtection="1"/>
    <xf numFmtId="0" fontId="38" fillId="0" borderId="14" xfId="0" applyNumberFormat="1" applyFont="1" applyBorder="1" applyProtection="1"/>
    <xf numFmtId="0" fontId="38" fillId="0" borderId="0" xfId="0" applyNumberFormat="1" applyFont="1" applyBorder="1" applyProtection="1"/>
    <xf numFmtId="0" fontId="32" fillId="0" borderId="0" xfId="0" applyNumberFormat="1" applyFont="1" applyBorder="1" applyProtection="1"/>
    <xf numFmtId="0" fontId="32" fillId="0" borderId="15" xfId="0" applyNumberFormat="1" applyFont="1" applyBorder="1" applyProtection="1"/>
    <xf numFmtId="176" fontId="33" fillId="0" borderId="0" xfId="0" applyNumberFormat="1" applyFont="1" applyBorder="1" applyProtection="1"/>
    <xf numFmtId="0" fontId="35" fillId="0" borderId="0" xfId="0" applyNumberFormat="1" applyFont="1" applyBorder="1" applyProtection="1"/>
    <xf numFmtId="0" fontId="35" fillId="0" borderId="15" xfId="0" applyNumberFormat="1" applyFont="1" applyBorder="1" applyProtection="1"/>
    <xf numFmtId="0" fontId="31" fillId="11" borderId="0" xfId="0" applyNumberFormat="1" applyFont="1" applyFill="1" applyProtection="1"/>
    <xf numFmtId="0" fontId="60" fillId="0" borderId="9" xfId="0" applyNumberFormat="1" applyFont="1" applyBorder="1" applyProtection="1"/>
    <xf numFmtId="0" fontId="60" fillId="0" borderId="3" xfId="0" applyNumberFormat="1" applyFont="1" applyBorder="1" applyAlignment="1" applyProtection="1">
      <alignment horizontal="right"/>
    </xf>
    <xf numFmtId="0" fontId="0" fillId="0" borderId="3" xfId="0" applyNumberFormat="1" applyBorder="1" applyProtection="1"/>
    <xf numFmtId="0" fontId="0" fillId="0" borderId="11" xfId="0" applyNumberFormat="1" applyBorder="1" applyProtection="1"/>
    <xf numFmtId="176" fontId="35" fillId="0" borderId="0" xfId="0" applyNumberFormat="1" applyFont="1" applyBorder="1" applyProtection="1"/>
    <xf numFmtId="0" fontId="42" fillId="0" borderId="0" xfId="0" applyNumberFormat="1" applyFont="1" applyBorder="1" applyProtection="1"/>
    <xf numFmtId="0" fontId="42" fillId="0" borderId="15" xfId="0" applyNumberFormat="1" applyFont="1" applyBorder="1" applyProtection="1"/>
    <xf numFmtId="0" fontId="34" fillId="18" borderId="14" xfId="0" applyNumberFormat="1" applyFont="1" applyFill="1" applyBorder="1" applyProtection="1"/>
    <xf numFmtId="176" fontId="33" fillId="18" borderId="0" xfId="0" applyNumberFormat="1" applyFont="1" applyFill="1" applyBorder="1" applyProtection="1"/>
    <xf numFmtId="0" fontId="36" fillId="18" borderId="0" xfId="0" applyNumberFormat="1" applyFont="1" applyFill="1" applyBorder="1" applyProtection="1"/>
    <xf numFmtId="0" fontId="36" fillId="18" borderId="15" xfId="0" applyNumberFormat="1" applyFont="1" applyFill="1" applyBorder="1" applyProtection="1"/>
    <xf numFmtId="0" fontId="61" fillId="0" borderId="10" xfId="0" applyNumberFormat="1" applyFont="1" applyBorder="1" applyProtection="1"/>
    <xf numFmtId="0" fontId="20" fillId="8" borderId="0" xfId="0" applyNumberFormat="1" applyFont="1" applyFill="1" applyAlignment="1">
      <alignment horizontal="left" vertical="center"/>
    </xf>
    <xf numFmtId="0" fontId="21" fillId="8" borderId="0" xfId="0" applyNumberFormat="1" applyFont="1" applyFill="1" applyAlignment="1">
      <alignment horizontal="left" vertical="center" wrapText="1"/>
    </xf>
    <xf numFmtId="0" fontId="9" fillId="5" borderId="1" xfId="0" applyNumberFormat="1" applyFont="1" applyFill="1" applyBorder="1"/>
    <xf numFmtId="0" fontId="9" fillId="5" borderId="1" xfId="0" applyNumberFormat="1" applyFont="1" applyFill="1" applyBorder="1" applyAlignment="1">
      <alignment horizontal="right" vertical="center"/>
    </xf>
    <xf numFmtId="0" fontId="9" fillId="0" borderId="1" xfId="0" applyNumberFormat="1" applyFont="1" applyBorder="1"/>
    <xf numFmtId="179" fontId="9" fillId="0" borderId="1" xfId="0" applyNumberFormat="1" applyFont="1" applyBorder="1" applyAlignment="1">
      <alignment horizontal="right" vertical="center"/>
    </xf>
    <xf numFmtId="179" fontId="15" fillId="0" borderId="1" xfId="0" applyNumberFormat="1" applyFont="1" applyBorder="1" applyAlignment="1">
      <alignment horizontal="right" vertical="center"/>
    </xf>
    <xf numFmtId="0" fontId="22" fillId="0" borderId="0" xfId="0" applyNumberFormat="1" applyFont="1" applyProtection="1"/>
    <xf numFmtId="176" fontId="22" fillId="0" borderId="0" xfId="0" applyNumberFormat="1" applyFont="1" applyProtection="1"/>
    <xf numFmtId="0" fontId="5" fillId="3" borderId="0" xfId="0" applyNumberFormat="1" applyFont="1" applyFill="1" applyAlignment="1">
      <alignment horizontal="left" vertical="center"/>
    </xf>
    <xf numFmtId="0" fontId="16" fillId="0" borderId="1" xfId="0" applyNumberFormat="1" applyFont="1" applyBorder="1"/>
    <xf numFmtId="179" fontId="8" fillId="0" borderId="1" xfId="0" applyNumberFormat="1" applyFont="1" applyBorder="1" applyAlignment="1">
      <alignment horizontal="right" vertical="center"/>
    </xf>
    <xf numFmtId="0" fontId="4" fillId="0" borderId="1" xfId="0" applyNumberFormat="1" applyFont="1" applyBorder="1"/>
    <xf numFmtId="179" fontId="6" fillId="0" borderId="1" xfId="0" applyNumberFormat="1" applyFont="1" applyBorder="1" applyAlignment="1">
      <alignment horizontal="right" vertical="center"/>
    </xf>
    <xf numFmtId="179" fontId="13" fillId="0" borderId="1" xfId="0" applyNumberFormat="1" applyFont="1" applyBorder="1" applyAlignment="1">
      <alignment horizontal="right" vertical="center"/>
    </xf>
    <xf numFmtId="0" fontId="10" fillId="0" borderId="0" xfId="0" applyNumberFormat="1" applyFont="1"/>
    <xf numFmtId="0" fontId="23" fillId="0" borderId="5" xfId="0" applyNumberFormat="1" applyFont="1" applyBorder="1"/>
    <xf numFmtId="179" fontId="28" fillId="0" borderId="0" xfId="0" applyNumberFormat="1" applyFont="1" applyAlignment="1">
      <alignment horizontal="right"/>
    </xf>
    <xf numFmtId="0" fontId="23" fillId="0" borderId="5" xfId="0" applyNumberFormat="1" applyFont="1" applyFill="1" applyBorder="1" applyProtection="1"/>
    <xf numFmtId="0" fontId="26" fillId="11" borderId="0" xfId="0" applyNumberFormat="1" applyFont="1" applyFill="1" applyBorder="1" applyProtection="1"/>
    <xf numFmtId="0" fontId="45" fillId="0" borderId="0" xfId="0" applyNumberFormat="1" applyFont="1" applyProtection="1"/>
    <xf numFmtId="176" fontId="45" fillId="0" borderId="0" xfId="0" applyNumberFormat="1" applyFont="1" applyProtection="1"/>
    <xf numFmtId="0" fontId="46" fillId="0" borderId="0" xfId="0" applyNumberFormat="1" applyFont="1" applyProtection="1"/>
    <xf numFmtId="176" fontId="46" fillId="0" borderId="0" xfId="0" applyNumberFormat="1" applyFont="1" applyProtection="1"/>
    <xf numFmtId="0" fontId="24" fillId="6" borderId="0" xfId="0" applyNumberFormat="1" applyFont="1" applyFill="1"/>
    <xf numFmtId="0" fontId="25" fillId="6" borderId="0" xfId="0" applyNumberFormat="1" applyFont="1" applyFill="1"/>
    <xf numFmtId="0" fontId="39" fillId="11" borderId="0" xfId="0" applyNumberFormat="1" applyFont="1" applyFill="1" applyAlignment="1">
      <alignment horizontal="center" vertical="center"/>
    </xf>
    <xf numFmtId="0" fontId="39" fillId="11" borderId="0" xfId="0" applyNumberFormat="1" applyFont="1" applyFill="1" applyAlignment="1">
      <alignment horizontal="center" vertical="center"/>
    </xf>
    <xf numFmtId="0" fontId="26" fillId="11" borderId="0" xfId="0" applyNumberFormat="1" applyFont="1" applyFill="1" applyAlignment="1">
      <alignment horizontal="left"/>
    </xf>
    <xf numFmtId="0" fontId="26" fillId="11" borderId="0" xfId="0" applyNumberFormat="1" applyFont="1" applyFill="1" applyAlignment="1">
      <alignment horizontal="center"/>
    </xf>
    <xf numFmtId="0" fontId="27" fillId="0" borderId="0" xfId="0" applyNumberFormat="1" applyFont="1"/>
    <xf numFmtId="0" fontId="22" fillId="0" borderId="0" xfId="0" applyNumberFormat="1" applyFont="1"/>
    <xf numFmtId="181" fontId="22" fillId="0" borderId="0" xfId="0" applyNumberFormat="1" applyFont="1"/>
    <xf numFmtId="181" fontId="22" fillId="12" borderId="0" xfId="0" applyNumberFormat="1" applyFont="1" applyFill="1"/>
    <xf numFmtId="0" fontId="27" fillId="13" borderId="0" xfId="0" applyNumberFormat="1" applyFont="1" applyFill="1"/>
    <xf numFmtId="181" fontId="27" fillId="13" borderId="0" xfId="0" applyNumberFormat="1" applyFont="1" applyFill="1"/>
    <xf numFmtId="0" fontId="27" fillId="0" borderId="2" xfId="0" applyNumberFormat="1" applyFont="1" applyBorder="1"/>
    <xf numFmtId="181" fontId="27" fillId="0" borderId="2" xfId="0" applyNumberFormat="1" applyFont="1" applyBorder="1"/>
    <xf numFmtId="181" fontId="27" fillId="12" borderId="2" xfId="0" applyNumberFormat="1" applyFont="1" applyFill="1" applyBorder="1"/>
    <xf numFmtId="0" fontId="27" fillId="14" borderId="4" xfId="0" applyNumberFormat="1" applyFont="1" applyFill="1" applyBorder="1"/>
    <xf numFmtId="181" fontId="27" fillId="14" borderId="4" xfId="0" applyNumberFormat="1" applyFont="1" applyFill="1" applyBorder="1"/>
    <xf numFmtId="0" fontId="10" fillId="0" borderId="1" xfId="0" applyNumberFormat="1" applyFont="1" applyBorder="1"/>
    <xf numFmtId="0" fontId="12" fillId="0" borderId="1" xfId="0" applyNumberFormat="1" applyFont="1" applyBorder="1" applyAlignment="1">
      <alignment horizontal="right" vertical="center"/>
    </xf>
    <xf numFmtId="179" fontId="17" fillId="0" borderId="1" xfId="0" applyNumberFormat="1" applyFont="1" applyBorder="1" applyAlignment="1">
      <alignment horizontal="right" vertical="center"/>
    </xf>
    <xf numFmtId="0" fontId="10" fillId="0" borderId="1" xfId="0" applyNumberFormat="1" applyFont="1" applyBorder="1" applyAlignment="1">
      <alignment horizontal="right" vertical="center"/>
    </xf>
    <xf numFmtId="0" fontId="49" fillId="0" borderId="0" xfId="0" applyNumberFormat="1" applyFont="1" applyProtection="1"/>
    <xf numFmtId="176" fontId="49" fillId="0" borderId="0" xfId="0" applyNumberFormat="1" applyFont="1" applyProtection="1"/>
    <xf numFmtId="0" fontId="9" fillId="4" borderId="1" xfId="0" applyNumberFormat="1" applyFont="1" applyFill="1" applyBorder="1"/>
    <xf numFmtId="0" fontId="4" fillId="4" borderId="1" xfId="0" applyNumberFormat="1" applyFont="1" applyFill="1" applyBorder="1"/>
    <xf numFmtId="0" fontId="9" fillId="2" borderId="1" xfId="0" applyNumberFormat="1" applyFont="1" applyFill="1" applyBorder="1"/>
    <xf numFmtId="0" fontId="4" fillId="2" borderId="1" xfId="0" applyNumberFormat="1" applyFont="1" applyFill="1" applyBorder="1"/>
    <xf numFmtId="0" fontId="10" fillId="0" borderId="0" xfId="0" applyNumberFormat="1" applyFont="1"/>
    <xf numFmtId="0" fontId="20" fillId="6" borderId="0" xfId="0" applyNumberFormat="1" applyFont="1" applyFill="1" applyAlignment="1">
      <alignment horizontal="left" vertical="center"/>
    </xf>
    <xf numFmtId="0" fontId="21" fillId="6" borderId="0" xfId="0" applyNumberFormat="1" applyFont="1" applyFill="1" applyAlignment="1">
      <alignment horizontal="left" vertical="center" wrapText="1"/>
    </xf>
    <xf numFmtId="0" fontId="12" fillId="0" borderId="1" xfId="0" applyNumberFormat="1" applyFont="1" applyBorder="1" applyAlignment="1">
      <alignment horizontal="left" vertical="center"/>
    </xf>
    <xf numFmtId="0" fontId="14" fillId="5" borderId="1" xfId="0" applyNumberFormat="1" applyFont="1" applyFill="1" applyBorder="1" applyAlignment="1">
      <alignment horizontal="right" vertical="center" wrapText="1"/>
    </xf>
    <xf numFmtId="0" fontId="23" fillId="0" borderId="0" xfId="0" applyNumberFormat="1" applyFont="1" applyBorder="1" applyProtection="1"/>
    <xf numFmtId="0" fontId="47" fillId="0" borderId="0" xfId="0" applyNumberFormat="1" applyFont="1" applyBorder="1" applyProtection="1"/>
    <xf numFmtId="179" fontId="8" fillId="0" borderId="0" xfId="0" applyNumberFormat="1" applyFont="1" applyBorder="1" applyAlignment="1" applyProtection="1">
      <alignment horizontal="right" vertical="center"/>
    </xf>
    <xf numFmtId="0" fontId="10" fillId="0" borderId="0" xfId="0" applyNumberFormat="1" applyFont="1" applyAlignment="1">
      <alignment vertical="center" wrapText="1"/>
    </xf>
    <xf numFmtId="0" fontId="7" fillId="0" borderId="0" xfId="0" applyNumberFormat="1" applyFont="1"/>
    <xf numFmtId="0" fontId="18" fillId="3" borderId="1" xfId="0" applyNumberFormat="1" applyFont="1" applyFill="1" applyBorder="1" applyAlignment="1">
      <alignment horizontal="center" vertical="center"/>
    </xf>
    <xf numFmtId="0" fontId="0" fillId="0" borderId="0" xfId="0" applyNumberFormat="1" applyProtection="1"/>
    <xf numFmtId="0" fontId="36" fillId="0" borderId="0" xfId="0" applyNumberFormat="1" applyFont="1" applyAlignment="1" applyProtection="1">
      <alignment horizontal="right"/>
    </xf>
    <xf numFmtId="0" fontId="38" fillId="0" borderId="0" xfId="0" applyNumberFormat="1" applyFont="1" applyFill="1" applyBorder="1" applyProtection="1"/>
    <xf numFmtId="0" fontId="31" fillId="11" borderId="0" xfId="0" applyNumberFormat="1" applyFont="1" applyFill="1" applyBorder="1" applyAlignment="1" applyProtection="1">
      <alignment horizontal="left"/>
    </xf>
    <xf numFmtId="176" fontId="62" fillId="10" borderId="1" xfId="0" applyNumberFormat="1" applyFont="1" applyFill="1" applyBorder="1" applyAlignment="1">
      <alignment horizontal="right" vertical="center"/>
    </xf>
    <xf numFmtId="0" fontId="42" fillId="0" borderId="0" xfId="0" applyFont="1" applyAlignment="1" applyProtection="1">
      <alignment horizontal="center"/>
    </xf>
    <xf numFmtId="0" fontId="36" fillId="0" borderId="0" xfId="0" applyFont="1" applyProtection="1"/>
    <xf numFmtId="164" fontId="43" fillId="9" borderId="0" xfId="0" applyNumberFormat="1" applyFont="1" applyFill="1" applyAlignment="1" applyProtection="1">
      <alignment horizontal="right"/>
      <protection locked="0"/>
    </xf>
    <xf numFmtId="0" fontId="38" fillId="0" borderId="14" xfId="0" applyNumberFormat="1" applyFont="1" applyFill="1" applyBorder="1" applyProtection="1"/>
    <xf numFmtId="176" fontId="32" fillId="0" borderId="0" xfId="0" applyNumberFormat="1" applyFont="1" applyBorder="1" applyProtection="1"/>
    <xf numFmtId="176" fontId="30" fillId="0" borderId="0" xfId="0" applyNumberFormat="1" applyFont="1" applyBorder="1" applyProtection="1"/>
    <xf numFmtId="175" fontId="30" fillId="0" borderId="0" xfId="0" applyNumberFormat="1" applyFont="1" applyBorder="1" applyProtection="1"/>
    <xf numFmtId="0" fontId="63" fillId="0" borderId="10" xfId="0" applyNumberFormat="1" applyFont="1" applyFill="1" applyBorder="1" applyProtection="1"/>
    <xf numFmtId="0" fontId="63" fillId="0" borderId="7" xfId="0" applyNumberFormat="1" applyFont="1" applyFill="1" applyBorder="1" applyProtection="1"/>
    <xf numFmtId="0" fontId="63" fillId="0" borderId="12" xfId="0" applyNumberFormat="1" applyFont="1" applyFill="1" applyBorder="1" applyProtection="1"/>
    <xf numFmtId="0" fontId="30" fillId="0" borderId="5" xfId="0" applyNumberFormat="1" applyFont="1" applyFill="1" applyBorder="1" applyProtection="1"/>
    <xf numFmtId="0" fontId="31" fillId="11" borderId="0" xfId="0" applyFont="1" applyFill="1" applyAlignment="1" applyProtection="1">
      <alignment horizontal="left"/>
    </xf>
    <xf numFmtId="0" fontId="38" fillId="0" borderId="0" xfId="0" applyFont="1" applyProtection="1"/>
    <xf numFmtId="176" fontId="43" fillId="9" borderId="0" xfId="0" applyNumberFormat="1" applyFont="1" applyFill="1" applyAlignment="1" applyProtection="1">
      <alignment horizontal="right"/>
      <protection locked="0"/>
    </xf>
    <xf numFmtId="176" fontId="37" fillId="0" borderId="0" xfId="0" applyNumberFormat="1" applyFont="1" applyProtection="1"/>
    <xf numFmtId="0" fontId="38" fillId="0" borderId="8" xfId="0" applyFont="1" applyBorder="1" applyProtection="1"/>
    <xf numFmtId="0" fontId="0" fillId="0" borderId="6" xfId="0" applyBorder="1" applyProtection="1"/>
    <xf numFmtId="0" fontId="36" fillId="0" borderId="13" xfId="0" applyFont="1" applyBorder="1" applyProtection="1"/>
    <xf numFmtId="0" fontId="43" fillId="9" borderId="6" xfId="0" applyFont="1" applyFill="1" applyBorder="1" applyAlignment="1" applyProtection="1">
      <alignment horizontal="left"/>
      <protection locked="0"/>
    </xf>
    <xf numFmtId="0" fontId="42" fillId="0" borderId="1" xfId="0" applyFont="1" applyBorder="1" applyAlignment="1" applyProtection="1">
      <alignment horizontal="center"/>
    </xf>
    <xf numFmtId="176" fontId="54" fillId="10" borderId="1" xfId="0" applyNumberFormat="1" applyFont="1" applyFill="1" applyBorder="1" applyAlignment="1" applyProtection="1">
      <alignment horizontal="right"/>
    </xf>
    <xf numFmtId="164" fontId="43" fillId="9" borderId="1" xfId="0" applyNumberFormat="1" applyFont="1" applyFill="1" applyBorder="1" applyAlignment="1" applyProtection="1">
      <alignment horizontal="right"/>
      <protection locked="0"/>
    </xf>
    <xf numFmtId="0" fontId="31" fillId="11" borderId="0" xfId="0" applyFont="1" applyFill="1" applyBorder="1" applyAlignment="1" applyProtection="1">
      <alignment horizontal="left"/>
    </xf>
    <xf numFmtId="0" fontId="38" fillId="0" borderId="8" xfId="0" applyFont="1" applyFill="1" applyBorder="1" applyProtection="1"/>
    <xf numFmtId="0" fontId="63" fillId="0" borderId="10" xfId="0" applyFont="1" applyBorder="1" applyProtection="1"/>
    <xf numFmtId="0" fontId="63" fillId="0" borderId="7" xfId="0" applyFont="1" applyBorder="1" applyProtection="1"/>
    <xf numFmtId="0" fontId="63" fillId="0" borderId="12" xfId="0" applyFont="1" applyBorder="1" applyProtection="1"/>
    <xf numFmtId="164" fontId="35" fillId="0" borderId="0" xfId="0" applyNumberFormat="1" applyFont="1" applyProtection="1"/>
    <xf numFmtId="0" fontId="61" fillId="0" borderId="14" xfId="0" applyNumberFormat="1" applyFont="1" applyFill="1" applyBorder="1" applyProtection="1"/>
    <xf numFmtId="0" fontId="61" fillId="0" borderId="0" xfId="0" applyNumberFormat="1" applyFont="1" applyFill="1" applyBorder="1" applyProtection="1"/>
    <xf numFmtId="164" fontId="0" fillId="0" borderId="0" xfId="0" applyNumberFormat="1" applyProtection="1"/>
    <xf numFmtId="0" fontId="64" fillId="0" borderId="1" xfId="0" applyFont="1" applyBorder="1" applyProtection="1"/>
    <xf numFmtId="0" fontId="64" fillId="0" borderId="1" xfId="0" applyFont="1" applyBorder="1" applyAlignment="1" applyProtection="1">
      <alignment horizontal="right"/>
    </xf>
    <xf numFmtId="176" fontId="30" fillId="10" borderId="1" xfId="0" applyNumberFormat="1" applyFont="1" applyFill="1" applyBorder="1" applyAlignment="1" applyProtection="1">
      <alignment horizontal="right"/>
    </xf>
    <xf numFmtId="0" fontId="34" fillId="0" borderId="1" xfId="0" applyFont="1" applyBorder="1" applyProtection="1"/>
    <xf numFmtId="176" fontId="32" fillId="0" borderId="1" xfId="0" applyNumberFormat="1" applyFont="1" applyBorder="1" applyAlignment="1" applyProtection="1">
      <alignment horizontal="right"/>
    </xf>
    <xf numFmtId="176" fontId="30" fillId="0" borderId="1" xfId="0" applyNumberFormat="1" applyFont="1" applyBorder="1" applyAlignment="1" applyProtection="1">
      <alignment horizontal="right"/>
    </xf>
    <xf numFmtId="0" fontId="43" fillId="9" borderId="1" xfId="0" applyFont="1" applyFill="1" applyBorder="1" applyProtection="1">
      <protection locked="0"/>
    </xf>
    <xf numFmtId="176" fontId="43" fillId="9" borderId="1" xfId="0" applyNumberFormat="1" applyFont="1" applyFill="1" applyBorder="1" applyAlignment="1" applyProtection="1">
      <alignment horizontal="right"/>
      <protection locked="0"/>
    </xf>
    <xf numFmtId="0" fontId="31" fillId="11" borderId="8" xfId="0" applyNumberFormat="1" applyFont="1" applyFill="1" applyBorder="1" applyProtection="1"/>
    <xf numFmtId="0" fontId="31" fillId="11" borderId="6" xfId="0" applyNumberFormat="1" applyFont="1" applyFill="1" applyBorder="1" applyProtection="1"/>
    <xf numFmtId="0" fontId="31" fillId="11" borderId="13" xfId="0" applyNumberFormat="1" applyFont="1" applyFill="1" applyBorder="1" applyProtection="1"/>
    <xf numFmtId="0" fontId="38" fillId="0" borderId="8" xfId="0" applyNumberFormat="1" applyFont="1" applyBorder="1" applyProtection="1"/>
    <xf numFmtId="0" fontId="38" fillId="0" borderId="6" xfId="0" applyNumberFormat="1" applyFont="1" applyBorder="1" applyProtection="1"/>
    <xf numFmtId="0" fontId="65" fillId="0" borderId="6" xfId="0" applyNumberFormat="1" applyFont="1" applyBorder="1" applyAlignment="1" applyProtection="1">
      <alignment horizontal="center"/>
    </xf>
    <xf numFmtId="0" fontId="65" fillId="0" borderId="13" xfId="0" applyNumberFormat="1" applyFont="1" applyBorder="1" applyAlignment="1" applyProtection="1">
      <alignment horizontal="center"/>
    </xf>
    <xf numFmtId="0" fontId="38" fillId="0" borderId="8" xfId="0" applyNumberFormat="1" applyFont="1" applyFill="1" applyBorder="1" applyProtection="1"/>
    <xf numFmtId="0" fontId="38" fillId="0" borderId="6" xfId="0" applyNumberFormat="1" applyFont="1" applyFill="1" applyBorder="1" applyProtection="1"/>
    <xf numFmtId="0" fontId="66" fillId="0" borderId="14" xfId="0" applyNumberFormat="1" applyFont="1" applyBorder="1" applyAlignment="1" applyProtection="1">
      <alignment horizontal="center"/>
    </xf>
    <xf numFmtId="0" fontId="36" fillId="0" borderId="10" xfId="0" applyNumberFormat="1" applyFont="1" applyBorder="1" applyAlignment="1" applyProtection="1">
      <alignment horizontal="center"/>
    </xf>
    <xf numFmtId="0" fontId="66" fillId="0" borderId="15" xfId="0" applyNumberFormat="1" applyFont="1" applyBorder="1" applyAlignment="1" applyProtection="1">
      <alignment horizontal="center"/>
    </xf>
    <xf numFmtId="0" fontId="36" fillId="0" borderId="12" xfId="0" applyNumberFormat="1" applyFont="1" applyBorder="1" applyAlignment="1" applyProtection="1">
      <alignment horizontal="center"/>
    </xf>
    <xf numFmtId="0" fontId="42" fillId="0" borderId="6" xfId="0" applyFont="1" applyBorder="1" applyAlignment="1" applyProtection="1">
      <alignment horizontal="center"/>
    </xf>
    <xf numFmtId="164" fontId="43" fillId="9" borderId="6" xfId="0" applyNumberFormat="1" applyFont="1" applyFill="1" applyBorder="1" applyAlignment="1" applyProtection="1">
      <alignment horizontal="right"/>
      <protection locked="0"/>
    </xf>
  </cellXfs>
  <cellStyles count="1">
    <cellStyle name="Normal" xfId="0" builtinId="0"/>
  </cellStyles>
  <dxfs count="19">
    <dxf>
      <font>
        <color rgb="FF9A9A9A"/>
      </font>
      <fill>
        <patternFill patternType="solid">
          <fgColor indexed="64"/>
          <bgColor rgb="FFF2F0F4"/>
        </patternFill>
      </fill>
    </dxf>
    <dxf>
      <font>
        <color rgb="FF9A9A9A"/>
      </font>
      <fill>
        <patternFill patternType="solid">
          <fgColor indexed="64"/>
          <bgColor rgb="FFF2F0F4"/>
        </patternFill>
      </fill>
    </dxf>
    <dxf>
      <font>
        <color rgb="FF9A9A9A"/>
      </font>
      <fill>
        <patternFill patternType="solid">
          <fgColor indexed="64"/>
          <bgColor rgb="FFF2F0F4"/>
        </patternFill>
      </fill>
    </dxf>
    <dxf>
      <font>
        <color rgb="FF9A9A9A"/>
      </font>
      <fill>
        <patternFill patternType="solid">
          <fgColor indexed="64"/>
          <bgColor rgb="FFF2F0F4"/>
        </patternFill>
      </fill>
    </dxf>
    <dxf>
      <font>
        <color rgb="FFBFBFBF"/>
      </font>
      <fill>
        <patternFill patternType="solid">
          <fgColor indexed="64"/>
          <bgColor rgb="FFECECEC"/>
        </patternFill>
      </fill>
    </dxf>
    <dxf>
      <font>
        <color rgb="FFBFBFBF"/>
      </font>
      <fill>
        <patternFill patternType="solid">
          <fgColor indexed="64"/>
          <bgColor rgb="FFECECEC"/>
        </patternFill>
      </fill>
    </dxf>
    <dxf>
      <font>
        <color rgb="FFBFBFBF"/>
      </font>
      <fill>
        <patternFill patternType="solid">
          <fgColor indexed="64"/>
          <bgColor rgb="FFECECEC"/>
        </patternFill>
      </fill>
    </dxf>
    <dxf>
      <font>
        <color rgb="FFBFBFBF"/>
      </font>
      <fill>
        <patternFill patternType="solid">
          <fgColor indexed="64"/>
          <bgColor rgb="FFECECEC"/>
        </patternFill>
      </fill>
    </dxf>
    <dxf>
      <font>
        <color rgb="FFBFBFBF"/>
      </font>
      <fill>
        <patternFill patternType="solid">
          <fgColor indexed="64"/>
          <bgColor rgb="FFECECEC"/>
        </patternFill>
      </fill>
    </dxf>
    <dxf>
      <font>
        <color rgb="FFBFBFBF"/>
      </font>
      <fill>
        <patternFill patternType="solid">
          <fgColor indexed="64"/>
          <bgColor rgb="FFECECEC"/>
        </patternFill>
      </fill>
    </dxf>
    <dxf>
      <font>
        <color rgb="FFBFBFBF"/>
      </font>
      <fill>
        <patternFill patternType="solid">
          <fgColor indexed="64"/>
          <bgColor rgb="FFECECEC"/>
        </patternFill>
      </fill>
    </dxf>
    <dxf>
      <font>
        <color rgb="FF1B2A4A"/>
      </font>
      <fill>
        <patternFill patternType="solid">
          <fgColor indexed="64"/>
          <bgColor rgb="FFFCE4D6"/>
        </patternFill>
      </fill>
    </dxf>
    <dxf>
      <font>
        <color rgb="FF1B2A4A"/>
      </font>
      <fill>
        <patternFill patternType="solid">
          <fgColor indexed="64"/>
          <bgColor rgb="FFFFF2CC"/>
        </patternFill>
      </fill>
    </dxf>
    <dxf>
      <font>
        <color rgb="FF1B2A4A"/>
      </font>
      <fill>
        <patternFill patternType="solid">
          <fgColor indexed="64"/>
          <bgColor rgb="FFE2EFDA"/>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5BCCA"/>
      <rgbColor rgb="FF808080"/>
      <rgbColor rgb="FF9999FF"/>
      <rgbColor rgb="FF993366"/>
      <rgbColor rgb="FFF2F0F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4C031"/>
      <rgbColor rgb="FFFF9900"/>
      <rgbColor rgb="FFFF6600"/>
      <rgbColor rgb="FF5A5A5A"/>
      <rgbColor rgb="FF969696"/>
      <rgbColor rgb="FF003366"/>
      <rgbColor rgb="FF339966"/>
      <rgbColor rgb="FF003300"/>
      <rgbColor rgb="FF333300"/>
      <rgbColor rgb="FF993300"/>
      <rgbColor rgb="FF993366"/>
      <rgbColor rgb="FF376183"/>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Uses breakdown</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Summary!$D$8:$D$14</c:f>
              <c:strCache>
                <c:ptCount val="7"/>
                <c:pt idx="0">
                  <c:v>Land at value</c:v>
                </c:pt>
                <c:pt idx="1">
                  <c:v>SDLT</c:v>
                </c:pt>
                <c:pt idx="2">
                  <c:v>Construction</c:v>
                </c:pt>
                <c:pt idx="3">
                  <c:v>Professional fees</c:v>
                </c:pt>
                <c:pt idx="4">
                  <c:v>Statutory</c:v>
                </c:pt>
                <c:pt idx="5">
                  <c:v>Acquisition &amp; legal</c:v>
                </c:pt>
                <c:pt idx="6">
                  <c:v>Development management fee</c:v>
                </c:pt>
              </c:strCache>
            </c:strRef>
          </c:cat>
          <c:val>
            <c:numRef>
              <c:f>Summary!$E$8:$E$14</c:f>
              <c:numCache>
                <c:formatCode>#,##0;\(#,##0\);\-</c:formatCode>
                <c:ptCount val="7"/>
                <c:pt idx="0">
                  <c:v>525000</c:v>
                </c:pt>
                <c:pt idx="1">
                  <c:v>0</c:v>
                </c:pt>
                <c:pt idx="2">
                  <c:v>2014249</c:v>
                </c:pt>
                <c:pt idx="3">
                  <c:v>221567</c:v>
                </c:pt>
                <c:pt idx="4">
                  <c:v>48000</c:v>
                </c:pt>
                <c:pt idx="5">
                  <c:v>7875</c:v>
                </c:pt>
                <c:pt idx="6">
                  <c:v>77000</c:v>
                </c:pt>
              </c:numCache>
            </c:numRef>
          </c:val>
          <c:extLst>
            <c:ext xmlns:c16="http://schemas.microsoft.com/office/drawing/2014/chart" uri="{C3380CC4-5D6E-409C-BE32-E72D297353CC}">
              <c16:uniqueId val="{00000000-DAF2-4657-A2DA-15C5C3640F8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Profit by party (£)</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Summary!$X$1:$X$3</c:f>
              <c:strCache>
                <c:ptCount val="3"/>
                <c:pt idx="0">
                  <c:v>Sponsor</c:v>
                </c:pt>
                <c:pt idx="1">
                  <c:v>Partner</c:v>
                </c:pt>
                <c:pt idx="2">
                  <c:v>Landowner</c:v>
                </c:pt>
              </c:strCache>
            </c:strRef>
          </c:cat>
          <c:val>
            <c:numRef>
              <c:f>Summary!$Y$1:$Y$3</c:f>
              <c:numCache>
                <c:formatCode>General</c:formatCode>
                <c:ptCount val="3"/>
                <c:pt idx="0">
                  <c:v>332161.91126460239</c:v>
                </c:pt>
                <c:pt idx="1">
                  <c:v>135966.12643934094</c:v>
                </c:pt>
                <c:pt idx="2">
                  <c:v>223504.65364534897</c:v>
                </c:pt>
              </c:numCache>
            </c:numRef>
          </c:val>
          <c:extLst>
            <c:ext xmlns:c16="http://schemas.microsoft.com/office/drawing/2014/chart" uri="{C3380CC4-5D6E-409C-BE32-E72D297353CC}">
              <c16:uniqueId val="{00000000-2D36-470A-9EEE-3C4D44D4EE6C}"/>
            </c:ext>
          </c:extLst>
        </c:ser>
        <c:dLbls>
          <c:showLegendKey val="0"/>
          <c:showVal val="0"/>
          <c:showCatName val="0"/>
          <c:showSerName val="0"/>
          <c:showPercent val="0"/>
          <c:showBubbleSize val="0"/>
        </c:dLbls>
        <c:gapWidth val="219"/>
        <c:overlap val="-27"/>
        <c:axId val="198801743"/>
        <c:axId val="198802223"/>
      </c:barChart>
      <c:catAx>
        <c:axId val="19880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02223"/>
        <c:crosses val="autoZero"/>
        <c:auto val="1"/>
        <c:lblAlgn val="ctr"/>
        <c:lblOffset val="100"/>
        <c:noMultiLvlLbl val="0"/>
      </c:catAx>
      <c:valAx>
        <c:axId val="198802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0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44</xdr:row>
      <xdr:rowOff>187325</xdr:rowOff>
    </xdr:from>
    <xdr:to>
      <xdr:col>5</xdr:col>
      <xdr:colOff>600075</xdr:colOff>
      <xdr:row>60</xdr:row>
      <xdr:rowOff>187325</xdr:rowOff>
    </xdr:to>
    <xdr:graphicFrame macro="">
      <xdr:nvGraphicFramePr>
        <xdr:cNvPr id="2" name="Chart 1">
          <a:extLst>
            <a:ext uri="{FF2B5EF4-FFF2-40B4-BE49-F238E27FC236}">
              <a16:creationId xmlns:a16="http://schemas.microsoft.com/office/drawing/2014/main" id="{FF858B07-E83D-54C5-6D69-B09F98354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781050</xdr:colOff>
      <xdr:row>44</xdr:row>
      <xdr:rowOff>187325</xdr:rowOff>
    </xdr:from>
    <xdr:to>
      <xdr:col>13</xdr:col>
      <xdr:colOff>206375</xdr:colOff>
      <xdr:row>60</xdr:row>
      <xdr:rowOff>187325</xdr:rowOff>
    </xdr:to>
    <xdr:graphicFrame macro="">
      <xdr:nvGraphicFramePr>
        <xdr:cNvPr id="3" name="Chart 2">
          <a:extLst>
            <a:ext uri="{FF2B5EF4-FFF2-40B4-BE49-F238E27FC236}">
              <a16:creationId xmlns:a16="http://schemas.microsoft.com/office/drawing/2014/main" id="{D5CF9229-A341-A43D-E725-31B17A33C2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9"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84EF1D0-C139-4464-843F-BB91A11B8377}">
  <we:reference id="WA200009404" version="1.0.0.8" store="Omex" storeType="OMEX"/>
  <we:alternateReferences>
    <we:reference id="WA200009404" version="1.0.0.8" store="WA200009404" storeType="OMEX"/>
  </we:alternateReferences>
  <we:properties>
    <we:property name="claude.fileId" value="&quot;c83e41be-7a64-4b9d-813e-d5bde14f3e59&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6099B-15AD-4E76-AC70-F460761864A8}">
  <sheetPr>
    <tabColor rgb="FF9AA0A6"/>
  </sheetPr>
  <dimension ref="A1:F141"/>
  <sheetViews>
    <sheetView topLeftCell="A55" workbookViewId="0">
      <selection activeCell="C2" sqref="C2"/>
    </sheetView>
  </sheetViews>
  <sheetFormatPr defaultRowHeight="15" x14ac:dyDescent="0.25"/>
  <cols>
    <col min="1" max="1" width="7.28515625" customWidth="1"/>
    <col min="2" max="2" width="12.7109375" customWidth="1"/>
    <col min="3" max="3" width="43.5703125" customWidth="1"/>
    <col min="4" max="4" width="20" customWidth="1"/>
    <col min="5" max="5" width="61.85546875" customWidth="1"/>
    <col min="6" max="6" width="36.42578125" customWidth="1"/>
  </cols>
  <sheetData>
    <row r="1" spans="1:6" x14ac:dyDescent="0.25">
      <c r="A1" s="18" t="s">
        <v>269</v>
      </c>
      <c r="B1" s="18" t="s">
        <v>270</v>
      </c>
      <c r="C1" s="18" t="s">
        <v>271</v>
      </c>
      <c r="D1" s="18" t="s">
        <v>272</v>
      </c>
      <c r="E1" s="18" t="s">
        <v>273</v>
      </c>
      <c r="F1" s="18" t="s">
        <v>274</v>
      </c>
    </row>
    <row r="2" spans="1:6" ht="153.75" x14ac:dyDescent="0.25">
      <c r="A2" s="1">
        <v>1</v>
      </c>
      <c r="B2" s="20">
        <v>46196</v>
      </c>
      <c r="C2" s="19" t="s">
        <v>275</v>
      </c>
      <c r="D2" s="19" t="s">
        <v>276</v>
      </c>
      <c r="E2" s="19" t="s">
        <v>277</v>
      </c>
      <c r="F2" s="19" t="s">
        <v>278</v>
      </c>
    </row>
    <row r="3" spans="1:6" ht="64.5" x14ac:dyDescent="0.25">
      <c r="A3" s="1">
        <v>2</v>
      </c>
      <c r="B3" s="20">
        <v>46196</v>
      </c>
      <c r="C3" s="19" t="s">
        <v>282</v>
      </c>
      <c r="D3" s="19" t="s">
        <v>283</v>
      </c>
      <c r="E3" s="19" t="s">
        <v>284</v>
      </c>
      <c r="F3" s="19" t="s">
        <v>285</v>
      </c>
    </row>
    <row r="4" spans="1:6" ht="51.75" x14ac:dyDescent="0.25">
      <c r="A4" s="1">
        <v>3</v>
      </c>
      <c r="B4" s="20">
        <v>46196</v>
      </c>
      <c r="C4" s="19" t="s">
        <v>286</v>
      </c>
      <c r="D4" s="19" t="s">
        <v>287</v>
      </c>
      <c r="E4" s="19" t="s">
        <v>288</v>
      </c>
      <c r="F4" s="19" t="s">
        <v>289</v>
      </c>
    </row>
    <row r="5" spans="1:6" ht="77.25" x14ac:dyDescent="0.25">
      <c r="A5" s="1">
        <v>4</v>
      </c>
      <c r="B5" s="20">
        <v>46196</v>
      </c>
      <c r="C5" s="19" t="s">
        <v>290</v>
      </c>
      <c r="D5" s="19" t="s">
        <v>291</v>
      </c>
      <c r="E5" s="19" t="s">
        <v>292</v>
      </c>
      <c r="F5" s="19" t="s">
        <v>293</v>
      </c>
    </row>
    <row r="6" spans="1:6" ht="77.25" x14ac:dyDescent="0.25">
      <c r="A6" s="1">
        <v>5</v>
      </c>
      <c r="B6" s="20">
        <v>46196</v>
      </c>
      <c r="C6" s="19" t="s">
        <v>294</v>
      </c>
      <c r="D6" s="19" t="s">
        <v>295</v>
      </c>
      <c r="E6" s="19" t="s">
        <v>296</v>
      </c>
      <c r="F6" s="19" t="s">
        <v>297</v>
      </c>
    </row>
    <row r="7" spans="1:6" ht="76.5" x14ac:dyDescent="0.25">
      <c r="A7" s="29">
        <v>6</v>
      </c>
      <c r="B7" s="30">
        <v>46196</v>
      </c>
      <c r="C7" s="31" t="s">
        <v>327</v>
      </c>
      <c r="D7" s="31" t="s">
        <v>328</v>
      </c>
      <c r="E7" s="31" t="s">
        <v>329</v>
      </c>
      <c r="F7" s="31" t="s">
        <v>330</v>
      </c>
    </row>
    <row r="8" spans="1:6" ht="141" x14ac:dyDescent="0.25">
      <c r="A8" s="1">
        <v>7</v>
      </c>
      <c r="B8" s="21">
        <v>46198</v>
      </c>
      <c r="C8" s="19" t="s">
        <v>331</v>
      </c>
      <c r="D8" s="19" t="s">
        <v>332</v>
      </c>
      <c r="E8" s="19" t="s">
        <v>333</v>
      </c>
      <c r="F8" s="19" t="s">
        <v>334</v>
      </c>
    </row>
    <row r="9" spans="1:6" ht="166.5" x14ac:dyDescent="0.25">
      <c r="A9" s="1">
        <v>8</v>
      </c>
      <c r="B9" s="21">
        <v>46198</v>
      </c>
      <c r="C9" s="19" t="s">
        <v>335</v>
      </c>
      <c r="D9" s="19" t="s">
        <v>336</v>
      </c>
      <c r="E9" s="19" t="s">
        <v>337</v>
      </c>
      <c r="F9" s="19" t="s">
        <v>338</v>
      </c>
    </row>
    <row r="10" spans="1:6" ht="192" x14ac:dyDescent="0.25">
      <c r="A10" s="1">
        <v>9</v>
      </c>
      <c r="B10" s="21">
        <v>46198</v>
      </c>
      <c r="C10" s="19" t="s">
        <v>350</v>
      </c>
      <c r="D10" s="19" t="s">
        <v>351</v>
      </c>
      <c r="E10" s="19" t="s">
        <v>352</v>
      </c>
      <c r="F10" s="19" t="s">
        <v>353</v>
      </c>
    </row>
    <row r="11" spans="1:6" ht="153.75" x14ac:dyDescent="0.25">
      <c r="A11" s="1">
        <v>10</v>
      </c>
      <c r="B11" s="21">
        <v>46198</v>
      </c>
      <c r="C11" s="19" t="s">
        <v>359</v>
      </c>
      <c r="D11" s="19" t="s">
        <v>360</v>
      </c>
      <c r="E11" s="19" t="s">
        <v>361</v>
      </c>
      <c r="F11" s="19" t="s">
        <v>362</v>
      </c>
    </row>
    <row r="12" spans="1:6" ht="153.75" x14ac:dyDescent="0.25">
      <c r="A12" s="1">
        <v>11</v>
      </c>
      <c r="B12" s="21">
        <v>46198</v>
      </c>
      <c r="C12" s="19" t="s">
        <v>371</v>
      </c>
      <c r="D12" s="19" t="s">
        <v>372</v>
      </c>
      <c r="E12" s="19" t="s">
        <v>373</v>
      </c>
      <c r="F12" s="19" t="s">
        <v>374</v>
      </c>
    </row>
    <row r="13" spans="1:6" ht="217.5" x14ac:dyDescent="0.25">
      <c r="A13" s="1">
        <v>12</v>
      </c>
      <c r="B13" s="21">
        <v>46198</v>
      </c>
      <c r="C13" s="19" t="s">
        <v>383</v>
      </c>
      <c r="D13" s="19" t="s">
        <v>384</v>
      </c>
      <c r="E13" s="19" t="s">
        <v>385</v>
      </c>
      <c r="F13" s="19" t="s">
        <v>386</v>
      </c>
    </row>
    <row r="14" spans="1:6" ht="115.5" x14ac:dyDescent="0.25">
      <c r="A14" s="1">
        <v>13</v>
      </c>
      <c r="B14" s="21">
        <v>46198</v>
      </c>
      <c r="C14" s="19" t="s">
        <v>390</v>
      </c>
      <c r="D14" s="19" t="s">
        <v>391</v>
      </c>
      <c r="E14" s="19" t="s">
        <v>392</v>
      </c>
      <c r="F14" s="19" t="s">
        <v>393</v>
      </c>
    </row>
    <row r="15" spans="1:6" ht="153.75" x14ac:dyDescent="0.25">
      <c r="A15" s="1">
        <v>14</v>
      </c>
      <c r="B15" s="21">
        <v>46198</v>
      </c>
      <c r="C15" s="19" t="s">
        <v>394</v>
      </c>
      <c r="D15" s="19" t="s">
        <v>395</v>
      </c>
      <c r="E15" s="19" t="s">
        <v>396</v>
      </c>
      <c r="F15" s="19" t="s">
        <v>397</v>
      </c>
    </row>
    <row r="16" spans="1:6" ht="141" x14ac:dyDescent="0.25">
      <c r="A16" s="1">
        <v>15</v>
      </c>
      <c r="B16" s="21">
        <v>46198</v>
      </c>
      <c r="C16" s="19" t="s">
        <v>405</v>
      </c>
      <c r="D16" s="19" t="s">
        <v>406</v>
      </c>
      <c r="E16" s="19" t="s">
        <v>407</v>
      </c>
      <c r="F16" s="19" t="s">
        <v>408</v>
      </c>
    </row>
    <row r="17" spans="1:6" ht="115.5" x14ac:dyDescent="0.25">
      <c r="A17" s="1">
        <v>16</v>
      </c>
      <c r="B17" s="21">
        <v>46198</v>
      </c>
      <c r="C17" s="19" t="s">
        <v>409</v>
      </c>
      <c r="D17" s="19" t="s">
        <v>410</v>
      </c>
      <c r="E17" s="19" t="s">
        <v>411</v>
      </c>
      <c r="F17" s="19" t="s">
        <v>412</v>
      </c>
    </row>
    <row r="18" spans="1:6" ht="179.25" x14ac:dyDescent="0.25">
      <c r="A18" s="1">
        <v>17</v>
      </c>
      <c r="B18" s="21">
        <v>46198</v>
      </c>
      <c r="C18" s="19" t="s">
        <v>413</v>
      </c>
      <c r="D18" s="19" t="s">
        <v>414</v>
      </c>
      <c r="E18" s="19" t="s">
        <v>415</v>
      </c>
      <c r="F18" s="19" t="s">
        <v>416</v>
      </c>
    </row>
    <row r="19" spans="1:6" ht="153.75" x14ac:dyDescent="0.25">
      <c r="A19" s="1">
        <v>18</v>
      </c>
      <c r="B19" s="21">
        <v>46198</v>
      </c>
      <c r="C19" s="19" t="s">
        <v>423</v>
      </c>
      <c r="D19" s="19" t="s">
        <v>424</v>
      </c>
      <c r="E19" s="19" t="s">
        <v>425</v>
      </c>
      <c r="F19" s="19" t="s">
        <v>426</v>
      </c>
    </row>
    <row r="20" spans="1:6" ht="153.75" x14ac:dyDescent="0.25">
      <c r="A20" s="1">
        <v>19</v>
      </c>
      <c r="B20" s="21">
        <v>46198</v>
      </c>
      <c r="C20" s="19" t="s">
        <v>427</v>
      </c>
      <c r="D20" s="19" t="s">
        <v>428</v>
      </c>
      <c r="E20" s="19" t="s">
        <v>429</v>
      </c>
      <c r="F20" s="19" t="s">
        <v>430</v>
      </c>
    </row>
    <row r="21" spans="1:6" ht="166.5" x14ac:dyDescent="0.25">
      <c r="A21" s="1">
        <v>20</v>
      </c>
      <c r="B21" s="21">
        <v>46198</v>
      </c>
      <c r="C21" s="19" t="s">
        <v>476</v>
      </c>
      <c r="D21" s="19" t="s">
        <v>477</v>
      </c>
      <c r="E21" s="19" t="s">
        <v>478</v>
      </c>
      <c r="F21" s="19" t="s">
        <v>479</v>
      </c>
    </row>
    <row r="22" spans="1:6" ht="166.5" x14ac:dyDescent="0.25">
      <c r="A22" s="1">
        <v>21</v>
      </c>
      <c r="B22" s="21">
        <v>46198</v>
      </c>
      <c r="C22" s="19" t="s">
        <v>499</v>
      </c>
      <c r="D22" s="19" t="s">
        <v>500</v>
      </c>
      <c r="E22" s="19" t="s">
        <v>501</v>
      </c>
      <c r="F22" s="19" t="s">
        <v>502</v>
      </c>
    </row>
    <row r="23" spans="1:6" ht="102.75" x14ac:dyDescent="0.25">
      <c r="A23" s="1">
        <v>22</v>
      </c>
      <c r="B23" s="21">
        <v>46198</v>
      </c>
      <c r="C23" s="19" t="s">
        <v>503</v>
      </c>
      <c r="D23" s="19" t="s">
        <v>504</v>
      </c>
      <c r="E23" s="19" t="s">
        <v>505</v>
      </c>
      <c r="F23" s="19" t="s">
        <v>506</v>
      </c>
    </row>
    <row r="24" spans="1:6" ht="166.5" x14ac:dyDescent="0.25">
      <c r="A24" s="1">
        <v>23</v>
      </c>
      <c r="B24" s="21">
        <v>46198</v>
      </c>
      <c r="C24" s="19" t="s">
        <v>507</v>
      </c>
      <c r="D24" s="19" t="s">
        <v>508</v>
      </c>
      <c r="E24" s="19" t="s">
        <v>509</v>
      </c>
      <c r="F24" s="19" t="s">
        <v>510</v>
      </c>
    </row>
    <row r="25" spans="1:6" ht="192" x14ac:dyDescent="0.25">
      <c r="A25" s="1">
        <v>24</v>
      </c>
      <c r="B25" s="21">
        <v>46198</v>
      </c>
      <c r="C25" s="19" t="s">
        <v>511</v>
      </c>
      <c r="D25" s="19" t="s">
        <v>512</v>
      </c>
      <c r="E25" s="19" t="s">
        <v>513</v>
      </c>
      <c r="F25" s="19" t="s">
        <v>514</v>
      </c>
    </row>
    <row r="26" spans="1:6" ht="179.25" x14ac:dyDescent="0.25">
      <c r="A26" s="1">
        <v>25</v>
      </c>
      <c r="B26" s="21">
        <v>46198</v>
      </c>
      <c r="C26" s="19" t="s">
        <v>524</v>
      </c>
      <c r="D26" s="19" t="s">
        <v>525</v>
      </c>
      <c r="E26" s="19" t="s">
        <v>526</v>
      </c>
      <c r="F26" s="19" t="s">
        <v>527</v>
      </c>
    </row>
    <row r="27" spans="1:6" ht="115.5" x14ac:dyDescent="0.25">
      <c r="A27" s="1">
        <v>26</v>
      </c>
      <c r="B27" s="21">
        <v>46198</v>
      </c>
      <c r="C27" s="19" t="s">
        <v>534</v>
      </c>
      <c r="D27" s="19" t="s">
        <v>535</v>
      </c>
      <c r="E27" s="19" t="s">
        <v>536</v>
      </c>
      <c r="F27" s="19" t="s">
        <v>537</v>
      </c>
    </row>
    <row r="28" spans="1:6" ht="128.25" x14ac:dyDescent="0.25">
      <c r="A28" s="1">
        <v>27</v>
      </c>
      <c r="B28" s="21">
        <v>46198</v>
      </c>
      <c r="C28" s="19" t="s">
        <v>545</v>
      </c>
      <c r="D28" s="19" t="s">
        <v>546</v>
      </c>
      <c r="E28" s="19" t="s">
        <v>547</v>
      </c>
      <c r="F28" s="19" t="s">
        <v>548</v>
      </c>
    </row>
    <row r="29" spans="1:6" ht="115.5" x14ac:dyDescent="0.25">
      <c r="A29" s="1">
        <v>28</v>
      </c>
      <c r="B29" s="21">
        <v>46198</v>
      </c>
      <c r="C29" s="19" t="s">
        <v>552</v>
      </c>
      <c r="D29" s="19" t="s">
        <v>553</v>
      </c>
      <c r="E29" s="19" t="s">
        <v>554</v>
      </c>
      <c r="F29" s="19" t="s">
        <v>555</v>
      </c>
    </row>
    <row r="30" spans="1:6" ht="128.25" x14ac:dyDescent="0.25">
      <c r="A30" s="1">
        <v>29</v>
      </c>
      <c r="B30" s="21">
        <v>46198</v>
      </c>
      <c r="C30" s="19" t="s">
        <v>560</v>
      </c>
      <c r="D30" s="19" t="s">
        <v>561</v>
      </c>
      <c r="E30" s="19" t="s">
        <v>562</v>
      </c>
      <c r="F30" s="19" t="s">
        <v>563</v>
      </c>
    </row>
    <row r="31" spans="1:6" ht="128.25" x14ac:dyDescent="0.25">
      <c r="A31" s="1">
        <v>30</v>
      </c>
      <c r="B31" s="21">
        <v>46198</v>
      </c>
      <c r="C31" s="19" t="s">
        <v>570</v>
      </c>
      <c r="D31" s="19" t="s">
        <v>571</v>
      </c>
      <c r="E31" s="19" t="s">
        <v>572</v>
      </c>
      <c r="F31" s="19" t="s">
        <v>573</v>
      </c>
    </row>
    <row r="32" spans="1:6" ht="128.25" x14ac:dyDescent="0.25">
      <c r="A32" s="1">
        <v>31</v>
      </c>
      <c r="B32" s="21">
        <v>46198</v>
      </c>
      <c r="C32" s="19" t="s">
        <v>578</v>
      </c>
      <c r="D32" s="19" t="s">
        <v>579</v>
      </c>
      <c r="E32" s="19" t="s">
        <v>580</v>
      </c>
      <c r="F32" s="19" t="s">
        <v>581</v>
      </c>
    </row>
    <row r="33" spans="1:6" ht="77.25" x14ac:dyDescent="0.25">
      <c r="A33" s="1">
        <v>32</v>
      </c>
      <c r="B33" s="21">
        <v>46198</v>
      </c>
      <c r="C33" s="19" t="s">
        <v>588</v>
      </c>
      <c r="D33" s="19" t="s">
        <v>589</v>
      </c>
      <c r="E33" s="19" t="s">
        <v>590</v>
      </c>
      <c r="F33" s="19" t="s">
        <v>591</v>
      </c>
    </row>
    <row r="34" spans="1:6" ht="115.5" x14ac:dyDescent="0.25">
      <c r="A34" s="1">
        <v>33</v>
      </c>
      <c r="B34" s="21">
        <v>46198</v>
      </c>
      <c r="C34" s="19" t="s">
        <v>601</v>
      </c>
      <c r="D34" s="19" t="s">
        <v>602</v>
      </c>
      <c r="E34" s="19" t="s">
        <v>603</v>
      </c>
      <c r="F34" s="19" t="s">
        <v>604</v>
      </c>
    </row>
    <row r="35" spans="1:6" ht="115.5" x14ac:dyDescent="0.25">
      <c r="A35" s="1">
        <v>34</v>
      </c>
      <c r="B35" s="21">
        <v>46198</v>
      </c>
      <c r="C35" s="19" t="s">
        <v>614</v>
      </c>
      <c r="D35" s="19" t="s">
        <v>615</v>
      </c>
      <c r="E35" s="19" t="s">
        <v>616</v>
      </c>
      <c r="F35" s="19" t="s">
        <v>617</v>
      </c>
    </row>
    <row r="36" spans="1:6" ht="102.75" x14ac:dyDescent="0.25">
      <c r="A36" s="1">
        <v>35</v>
      </c>
      <c r="B36" s="21">
        <v>46198</v>
      </c>
      <c r="C36" s="19" t="s">
        <v>618</v>
      </c>
      <c r="D36" s="19" t="s">
        <v>619</v>
      </c>
      <c r="E36" s="19" t="s">
        <v>620</v>
      </c>
      <c r="F36" s="19" t="s">
        <v>621</v>
      </c>
    </row>
    <row r="37" spans="1:6" ht="153.75" x14ac:dyDescent="0.25">
      <c r="A37" s="1">
        <v>36</v>
      </c>
      <c r="B37" s="21">
        <v>46198</v>
      </c>
      <c r="C37" s="19" t="s">
        <v>629</v>
      </c>
      <c r="D37" s="19" t="s">
        <v>630</v>
      </c>
      <c r="E37" s="19" t="s">
        <v>631</v>
      </c>
      <c r="F37" s="19" t="s">
        <v>632</v>
      </c>
    </row>
    <row r="38" spans="1:6" ht="128.25" x14ac:dyDescent="0.25">
      <c r="A38" s="1">
        <v>37</v>
      </c>
      <c r="B38" s="21">
        <v>46198</v>
      </c>
      <c r="C38" s="19" t="s">
        <v>633</v>
      </c>
      <c r="D38" s="19" t="s">
        <v>634</v>
      </c>
      <c r="E38" s="19" t="s">
        <v>635</v>
      </c>
      <c r="F38" s="19" t="s">
        <v>636</v>
      </c>
    </row>
    <row r="39" spans="1:6" ht="166.5" x14ac:dyDescent="0.25">
      <c r="A39" s="1">
        <v>38</v>
      </c>
      <c r="B39" s="21">
        <v>46198</v>
      </c>
      <c r="C39" s="19" t="s">
        <v>637</v>
      </c>
      <c r="D39" s="19" t="s">
        <v>638</v>
      </c>
      <c r="E39" s="19" t="s">
        <v>639</v>
      </c>
      <c r="F39" s="19" t="s">
        <v>640</v>
      </c>
    </row>
    <row r="40" spans="1:6" ht="128.25" x14ac:dyDescent="0.25">
      <c r="A40" s="1">
        <v>40</v>
      </c>
      <c r="B40" s="21">
        <v>46198</v>
      </c>
      <c r="C40" s="19" t="s">
        <v>649</v>
      </c>
      <c r="D40" s="19" t="s">
        <v>650</v>
      </c>
      <c r="E40" s="19" t="s">
        <v>651</v>
      </c>
      <c r="F40" s="19" t="s">
        <v>652</v>
      </c>
    </row>
    <row r="41" spans="1:6" ht="141" x14ac:dyDescent="0.25">
      <c r="A41" s="1">
        <v>39</v>
      </c>
      <c r="B41" s="21">
        <v>46198</v>
      </c>
      <c r="C41" s="19" t="s">
        <v>645</v>
      </c>
      <c r="D41" s="19" t="s">
        <v>646</v>
      </c>
      <c r="E41" s="19" t="s">
        <v>647</v>
      </c>
      <c r="F41" s="19" t="s">
        <v>648</v>
      </c>
    </row>
    <row r="42" spans="1:6" ht="90" x14ac:dyDescent="0.25">
      <c r="A42" s="1">
        <v>41</v>
      </c>
      <c r="B42" s="21">
        <v>46198</v>
      </c>
      <c r="C42" s="19" t="s">
        <v>653</v>
      </c>
      <c r="D42" s="19" t="s">
        <v>654</v>
      </c>
      <c r="E42" s="19" t="s">
        <v>655</v>
      </c>
      <c r="F42" s="19" t="s">
        <v>656</v>
      </c>
    </row>
    <row r="43" spans="1:6" ht="64.5" x14ac:dyDescent="0.25">
      <c r="A43" s="1">
        <v>42</v>
      </c>
      <c r="B43" s="21">
        <v>46198</v>
      </c>
      <c r="C43" s="19" t="s">
        <v>657</v>
      </c>
      <c r="D43" s="19" t="s">
        <v>658</v>
      </c>
      <c r="E43" s="19" t="s">
        <v>659</v>
      </c>
      <c r="F43" s="19" t="s">
        <v>660</v>
      </c>
    </row>
    <row r="44" spans="1:6" ht="90" x14ac:dyDescent="0.25">
      <c r="A44" s="1">
        <v>43</v>
      </c>
      <c r="B44" s="21">
        <v>46198</v>
      </c>
      <c r="C44" s="19" t="s">
        <v>662</v>
      </c>
      <c r="D44" s="19" t="s">
        <v>663</v>
      </c>
      <c r="E44" s="19" t="s">
        <v>664</v>
      </c>
      <c r="F44" s="19" t="s">
        <v>665</v>
      </c>
    </row>
    <row r="45" spans="1:6" ht="115.5" x14ac:dyDescent="0.25">
      <c r="A45" s="1">
        <v>45</v>
      </c>
      <c r="B45" s="21">
        <v>46198</v>
      </c>
      <c r="C45" s="19" t="s">
        <v>674</v>
      </c>
      <c r="D45" s="19" t="s">
        <v>675</v>
      </c>
      <c r="E45" s="19" t="s">
        <v>676</v>
      </c>
      <c r="F45" s="19" t="s">
        <v>677</v>
      </c>
    </row>
    <row r="46" spans="1:6" ht="115.5" x14ac:dyDescent="0.25">
      <c r="A46" s="1">
        <v>46</v>
      </c>
      <c r="B46" s="21">
        <v>46198</v>
      </c>
      <c r="C46" s="19" t="s">
        <v>678</v>
      </c>
      <c r="D46" s="19" t="s">
        <v>679</v>
      </c>
      <c r="E46" s="19" t="s">
        <v>680</v>
      </c>
      <c r="F46" s="19" t="s">
        <v>681</v>
      </c>
    </row>
    <row r="47" spans="1:6" ht="102.75" x14ac:dyDescent="0.25">
      <c r="A47" s="1">
        <v>47</v>
      </c>
      <c r="B47" s="21">
        <v>46198</v>
      </c>
      <c r="C47" s="19" t="s">
        <v>682</v>
      </c>
      <c r="D47" s="19" t="s">
        <v>683</v>
      </c>
      <c r="E47" s="19" t="s">
        <v>684</v>
      </c>
      <c r="F47" s="19" t="s">
        <v>685</v>
      </c>
    </row>
    <row r="48" spans="1:6" ht="90" x14ac:dyDescent="0.25">
      <c r="A48" s="1">
        <v>44</v>
      </c>
      <c r="B48" s="21">
        <v>46198</v>
      </c>
      <c r="C48" s="19" t="s">
        <v>670</v>
      </c>
      <c r="D48" s="19" t="s">
        <v>671</v>
      </c>
      <c r="E48" s="19" t="s">
        <v>672</v>
      </c>
      <c r="F48" s="19" t="s">
        <v>673</v>
      </c>
    </row>
    <row r="49" spans="1:6" ht="90" x14ac:dyDescent="0.25">
      <c r="A49" s="1">
        <v>48</v>
      </c>
      <c r="B49" s="21">
        <v>46198</v>
      </c>
      <c r="C49" s="19" t="s">
        <v>690</v>
      </c>
      <c r="D49" s="19" t="s">
        <v>691</v>
      </c>
      <c r="E49" s="19" t="s">
        <v>692</v>
      </c>
      <c r="F49" s="19" t="s">
        <v>693</v>
      </c>
    </row>
    <row r="50" spans="1:6" ht="21.95" customHeight="1" x14ac:dyDescent="0.25">
      <c r="A50" s="34" t="s">
        <v>298</v>
      </c>
      <c r="B50" s="34"/>
      <c r="C50" s="34"/>
      <c r="D50" s="34"/>
      <c r="E50" s="34"/>
      <c r="F50" s="34"/>
    </row>
    <row r="51" spans="1:6" ht="36" customHeight="1" x14ac:dyDescent="0.25">
      <c r="A51" s="32" t="s">
        <v>299</v>
      </c>
      <c r="B51" s="32"/>
      <c r="C51" s="33" t="s">
        <v>300</v>
      </c>
      <c r="D51" s="33"/>
      <c r="E51" s="33"/>
      <c r="F51" s="33"/>
    </row>
    <row r="52" spans="1:6" ht="36" customHeight="1" x14ac:dyDescent="0.25">
      <c r="A52" s="32" t="s">
        <v>301</v>
      </c>
      <c r="B52" s="32"/>
      <c r="C52" s="33" t="s">
        <v>302</v>
      </c>
      <c r="D52" s="33"/>
      <c r="E52" s="33"/>
      <c r="F52" s="33"/>
    </row>
    <row r="53" spans="1:6" ht="51" customHeight="1" x14ac:dyDescent="0.25">
      <c r="A53" s="32" t="s">
        <v>303</v>
      </c>
      <c r="B53" s="32"/>
      <c r="C53" s="33" t="s">
        <v>304</v>
      </c>
      <c r="D53" s="33"/>
      <c r="E53" s="33"/>
      <c r="F53" s="33"/>
    </row>
    <row r="54" spans="1:6" ht="66" customHeight="1" x14ac:dyDescent="0.25">
      <c r="A54" s="32" t="s">
        <v>305</v>
      </c>
      <c r="B54" s="32"/>
      <c r="C54" s="33" t="s">
        <v>306</v>
      </c>
      <c r="D54" s="33"/>
      <c r="E54" s="33"/>
      <c r="F54" s="33"/>
    </row>
    <row r="55" spans="1:6" ht="51" customHeight="1" x14ac:dyDescent="0.25">
      <c r="A55" s="32" t="s">
        <v>307</v>
      </c>
      <c r="B55" s="32"/>
      <c r="C55" s="33" t="s">
        <v>308</v>
      </c>
      <c r="D55" s="33"/>
      <c r="E55" s="33"/>
      <c r="F55" s="33"/>
    </row>
    <row r="56" spans="1:6" ht="81" customHeight="1" x14ac:dyDescent="0.25">
      <c r="A56" s="32" t="s">
        <v>309</v>
      </c>
      <c r="B56" s="32"/>
      <c r="C56" s="33" t="s">
        <v>686</v>
      </c>
      <c r="D56" s="33"/>
      <c r="E56" s="33"/>
      <c r="F56" s="33"/>
    </row>
    <row r="57" spans="1:6" ht="51" customHeight="1" x14ac:dyDescent="0.25">
      <c r="A57" s="32" t="s">
        <v>310</v>
      </c>
      <c r="B57" s="32"/>
      <c r="C57" s="33" t="s">
        <v>311</v>
      </c>
      <c r="D57" s="33"/>
      <c r="E57" s="33"/>
      <c r="F57" s="33"/>
    </row>
    <row r="58" spans="1:6" ht="66" customHeight="1" x14ac:dyDescent="0.25">
      <c r="A58" s="32" t="s">
        <v>312</v>
      </c>
      <c r="B58" s="32"/>
      <c r="C58" s="33" t="s">
        <v>641</v>
      </c>
      <c r="D58" s="33"/>
      <c r="E58" s="33"/>
      <c r="F58" s="33"/>
    </row>
    <row r="59" spans="1:6" ht="66" customHeight="1" x14ac:dyDescent="0.25">
      <c r="A59" s="32" t="s">
        <v>313</v>
      </c>
      <c r="B59" s="32"/>
      <c r="C59" s="33" t="s">
        <v>387</v>
      </c>
      <c r="D59" s="33"/>
      <c r="E59" s="33"/>
      <c r="F59" s="33"/>
    </row>
    <row r="60" spans="1:6" ht="51" customHeight="1" x14ac:dyDescent="0.25">
      <c r="A60" s="32" t="s">
        <v>314</v>
      </c>
      <c r="B60" s="32"/>
      <c r="C60" s="33" t="s">
        <v>642</v>
      </c>
      <c r="D60" s="33"/>
      <c r="E60" s="33"/>
      <c r="F60" s="33"/>
    </row>
    <row r="61" spans="1:6" ht="66" customHeight="1" x14ac:dyDescent="0.25">
      <c r="A61" s="32" t="s">
        <v>315</v>
      </c>
      <c r="B61" s="32"/>
      <c r="C61" s="33" t="s">
        <v>687</v>
      </c>
      <c r="D61" s="33"/>
      <c r="E61" s="33"/>
      <c r="F61" s="33"/>
    </row>
    <row r="62" spans="1:6" ht="51" customHeight="1" x14ac:dyDescent="0.25">
      <c r="A62" s="32" t="s">
        <v>316</v>
      </c>
      <c r="B62" s="32"/>
      <c r="C62" s="33" t="s">
        <v>388</v>
      </c>
      <c r="D62" s="33"/>
      <c r="E62" s="33"/>
      <c r="F62" s="33"/>
    </row>
    <row r="63" spans="1:6" ht="66" customHeight="1" x14ac:dyDescent="0.25">
      <c r="A63" s="32" t="s">
        <v>317</v>
      </c>
      <c r="B63" s="32"/>
      <c r="C63" s="33" t="s">
        <v>318</v>
      </c>
      <c r="D63" s="33"/>
      <c r="E63" s="33"/>
      <c r="F63" s="33"/>
    </row>
    <row r="64" spans="1:6" ht="51" customHeight="1" x14ac:dyDescent="0.25">
      <c r="A64" s="32" t="s">
        <v>319</v>
      </c>
      <c r="B64" s="32"/>
      <c r="C64" s="33" t="s">
        <v>389</v>
      </c>
      <c r="D64" s="33"/>
      <c r="E64" s="33"/>
      <c r="F64" s="33"/>
    </row>
    <row r="65" spans="1:6" ht="51" customHeight="1" x14ac:dyDescent="0.25">
      <c r="A65" s="32" t="s">
        <v>320</v>
      </c>
      <c r="B65" s="32"/>
      <c r="C65" s="33" t="s">
        <v>321</v>
      </c>
      <c r="D65" s="33"/>
      <c r="E65" s="33"/>
      <c r="F65" s="33"/>
    </row>
    <row r="66" spans="1:6" ht="36" customHeight="1" x14ac:dyDescent="0.25">
      <c r="A66" s="32" t="s">
        <v>22</v>
      </c>
      <c r="B66" s="32"/>
      <c r="C66" s="33" t="s">
        <v>643</v>
      </c>
      <c r="D66" s="33"/>
      <c r="E66" s="33"/>
      <c r="F66" s="33"/>
    </row>
    <row r="67" spans="1:6" ht="51" customHeight="1" x14ac:dyDescent="0.25">
      <c r="A67" s="32" t="s">
        <v>322</v>
      </c>
      <c r="B67" s="32"/>
      <c r="C67" s="33" t="s">
        <v>688</v>
      </c>
      <c r="D67" s="33"/>
      <c r="E67" s="33"/>
      <c r="F67" s="33"/>
    </row>
    <row r="68" spans="1:6" ht="51" customHeight="1" x14ac:dyDescent="0.25">
      <c r="A68" s="32" t="s">
        <v>323</v>
      </c>
      <c r="B68" s="32"/>
      <c r="C68" s="33" t="s">
        <v>644</v>
      </c>
      <c r="D68" s="33"/>
      <c r="E68" s="33"/>
      <c r="F68" s="33"/>
    </row>
    <row r="69" spans="1:6" ht="36" customHeight="1" x14ac:dyDescent="0.25">
      <c r="A69" s="32" t="s">
        <v>324</v>
      </c>
      <c r="B69" s="32"/>
      <c r="C69" s="33" t="s">
        <v>325</v>
      </c>
      <c r="D69" s="33"/>
      <c r="E69" s="33"/>
      <c r="F69" s="33"/>
    </row>
    <row r="70" spans="1:6" ht="66" customHeight="1" x14ac:dyDescent="0.25">
      <c r="A70" s="32" t="s">
        <v>326</v>
      </c>
      <c r="B70" s="32"/>
      <c r="C70" s="33" t="s">
        <v>689</v>
      </c>
      <c r="D70" s="33"/>
      <c r="E70" s="33"/>
      <c r="F70" s="33"/>
    </row>
    <row r="71" spans="1:6" x14ac:dyDescent="0.25">
      <c r="B71" s="21"/>
    </row>
    <row r="72" spans="1:6" x14ac:dyDescent="0.25">
      <c r="B72" s="21"/>
    </row>
    <row r="73" spans="1:6" x14ac:dyDescent="0.25">
      <c r="B73" s="21"/>
    </row>
    <row r="74" spans="1:6" x14ac:dyDescent="0.25">
      <c r="B74" s="21"/>
    </row>
    <row r="75" spans="1:6" x14ac:dyDescent="0.25">
      <c r="B75" s="21"/>
    </row>
    <row r="76" spans="1:6" x14ac:dyDescent="0.25">
      <c r="B76" s="21"/>
    </row>
    <row r="77" spans="1:6" x14ac:dyDescent="0.25">
      <c r="B77" s="21"/>
    </row>
    <row r="78" spans="1:6" x14ac:dyDescent="0.25">
      <c r="B78" s="21"/>
    </row>
    <row r="79" spans="1:6" x14ac:dyDescent="0.25">
      <c r="B79" s="21"/>
    </row>
    <row r="80" spans="1:6" x14ac:dyDescent="0.25">
      <c r="B80" s="21"/>
    </row>
    <row r="81" spans="2:2" x14ac:dyDescent="0.25">
      <c r="B81" s="21"/>
    </row>
    <row r="82" spans="2:2" x14ac:dyDescent="0.25">
      <c r="B82" s="21"/>
    </row>
    <row r="83" spans="2:2" x14ac:dyDescent="0.25">
      <c r="B83" s="21"/>
    </row>
    <row r="84" spans="2:2" x14ac:dyDescent="0.25">
      <c r="B84" s="21"/>
    </row>
    <row r="85" spans="2:2" x14ac:dyDescent="0.25">
      <c r="B85" s="21"/>
    </row>
    <row r="86" spans="2:2" x14ac:dyDescent="0.25">
      <c r="B86" s="21"/>
    </row>
    <row r="87" spans="2:2" x14ac:dyDescent="0.25">
      <c r="B87" s="21"/>
    </row>
    <row r="88" spans="2:2" x14ac:dyDescent="0.25">
      <c r="B88" s="21"/>
    </row>
    <row r="89" spans="2:2" x14ac:dyDescent="0.25">
      <c r="B89" s="21"/>
    </row>
    <row r="90" spans="2:2" x14ac:dyDescent="0.25">
      <c r="B90" s="21"/>
    </row>
    <row r="91" spans="2:2" x14ac:dyDescent="0.25">
      <c r="B91" s="21"/>
    </row>
    <row r="92" spans="2:2" x14ac:dyDescent="0.25">
      <c r="B92" s="21"/>
    </row>
    <row r="93" spans="2:2" x14ac:dyDescent="0.25">
      <c r="B93" s="21"/>
    </row>
    <row r="94" spans="2:2" x14ac:dyDescent="0.25">
      <c r="B94" s="21"/>
    </row>
    <row r="95" spans="2:2" x14ac:dyDescent="0.25">
      <c r="B95" s="21"/>
    </row>
    <row r="96" spans="2:2" x14ac:dyDescent="0.25">
      <c r="B96" s="21"/>
    </row>
    <row r="97" spans="2:2" x14ac:dyDescent="0.25">
      <c r="B97" s="21"/>
    </row>
    <row r="98" spans="2:2" x14ac:dyDescent="0.25">
      <c r="B98" s="21"/>
    </row>
    <row r="99" spans="2:2" x14ac:dyDescent="0.25">
      <c r="B99" s="21"/>
    </row>
    <row r="100" spans="2:2" x14ac:dyDescent="0.25">
      <c r="B100" s="21"/>
    </row>
    <row r="101" spans="2:2" x14ac:dyDescent="0.25">
      <c r="B101" s="21"/>
    </row>
    <row r="102" spans="2:2" x14ac:dyDescent="0.25">
      <c r="B102" s="21"/>
    </row>
    <row r="103" spans="2:2" x14ac:dyDescent="0.25">
      <c r="B103" s="21"/>
    </row>
    <row r="104" spans="2:2" x14ac:dyDescent="0.25">
      <c r="B104" s="21"/>
    </row>
    <row r="105" spans="2:2" x14ac:dyDescent="0.25">
      <c r="B105" s="21"/>
    </row>
    <row r="106" spans="2:2" x14ac:dyDescent="0.25">
      <c r="B106" s="21"/>
    </row>
    <row r="107" spans="2:2" x14ac:dyDescent="0.25">
      <c r="B107" s="21"/>
    </row>
    <row r="108" spans="2:2" x14ac:dyDescent="0.25">
      <c r="B108" s="21"/>
    </row>
    <row r="109" spans="2:2" x14ac:dyDescent="0.25">
      <c r="B109" s="21"/>
    </row>
    <row r="110" spans="2:2" x14ac:dyDescent="0.25">
      <c r="B110" s="21"/>
    </row>
    <row r="111" spans="2:2" x14ac:dyDescent="0.25">
      <c r="B111" s="21"/>
    </row>
    <row r="112" spans="2:2" x14ac:dyDescent="0.25">
      <c r="B112" s="21"/>
    </row>
    <row r="113" spans="2:2" x14ac:dyDescent="0.25">
      <c r="B113" s="21"/>
    </row>
    <row r="114" spans="2:2" x14ac:dyDescent="0.25">
      <c r="B114" s="21"/>
    </row>
    <row r="115" spans="2:2" x14ac:dyDescent="0.25">
      <c r="B115" s="21"/>
    </row>
    <row r="116" spans="2:2" x14ac:dyDescent="0.25">
      <c r="B116" s="21"/>
    </row>
    <row r="117" spans="2:2" x14ac:dyDescent="0.25">
      <c r="B117" s="21"/>
    </row>
    <row r="118" spans="2:2" x14ac:dyDescent="0.25">
      <c r="B118" s="21"/>
    </row>
    <row r="119" spans="2:2" x14ac:dyDescent="0.25">
      <c r="B119" s="21"/>
    </row>
    <row r="120" spans="2:2" x14ac:dyDescent="0.25">
      <c r="B120" s="21"/>
    </row>
    <row r="121" spans="2:2" x14ac:dyDescent="0.25">
      <c r="B121" s="21"/>
    </row>
    <row r="122" spans="2:2" x14ac:dyDescent="0.25">
      <c r="B122" s="21"/>
    </row>
    <row r="123" spans="2:2" x14ac:dyDescent="0.25">
      <c r="B123" s="21"/>
    </row>
    <row r="124" spans="2:2" x14ac:dyDescent="0.25">
      <c r="B124" s="21"/>
    </row>
    <row r="125" spans="2:2" x14ac:dyDescent="0.25">
      <c r="B125" s="21"/>
    </row>
    <row r="126" spans="2:2" x14ac:dyDescent="0.25">
      <c r="B126" s="21"/>
    </row>
    <row r="127" spans="2:2" x14ac:dyDescent="0.25">
      <c r="B127" s="21"/>
    </row>
    <row r="128" spans="2:2" x14ac:dyDescent="0.25">
      <c r="B128" s="21"/>
    </row>
    <row r="129" spans="2:2" x14ac:dyDescent="0.25">
      <c r="B129" s="21"/>
    </row>
    <row r="130" spans="2:2" x14ac:dyDescent="0.25">
      <c r="B130" s="21"/>
    </row>
    <row r="131" spans="2:2" x14ac:dyDescent="0.25">
      <c r="B131" s="21"/>
    </row>
    <row r="132" spans="2:2" x14ac:dyDescent="0.25">
      <c r="B132" s="21"/>
    </row>
    <row r="133" spans="2:2" x14ac:dyDescent="0.25">
      <c r="B133" s="21"/>
    </row>
    <row r="134" spans="2:2" x14ac:dyDescent="0.25">
      <c r="B134" s="21"/>
    </row>
    <row r="135" spans="2:2" x14ac:dyDescent="0.25">
      <c r="B135" s="21"/>
    </row>
    <row r="136" spans="2:2" x14ac:dyDescent="0.25">
      <c r="B136" s="21"/>
    </row>
    <row r="137" spans="2:2" x14ac:dyDescent="0.25">
      <c r="B137" s="21"/>
    </row>
    <row r="138" spans="2:2" x14ac:dyDescent="0.25">
      <c r="B138" s="21"/>
    </row>
    <row r="139" spans="2:2" x14ac:dyDescent="0.25">
      <c r="B139" s="21"/>
    </row>
    <row r="140" spans="2:2" x14ac:dyDescent="0.25">
      <c r="B140" s="21"/>
    </row>
    <row r="141" spans="2:2" x14ac:dyDescent="0.25">
      <c r="B141" s="21"/>
    </row>
  </sheetData>
  <mergeCells count="41">
    <mergeCell ref="A53:B53"/>
    <mergeCell ref="C53:F53"/>
    <mergeCell ref="A50:F50"/>
    <mergeCell ref="A51:B51"/>
    <mergeCell ref="C51:F51"/>
    <mergeCell ref="A52:B52"/>
    <mergeCell ref="C52:F52"/>
    <mergeCell ref="A54:B54"/>
    <mergeCell ref="C54:F54"/>
    <mergeCell ref="A55:B55"/>
    <mergeCell ref="C55:F55"/>
    <mergeCell ref="A56:B56"/>
    <mergeCell ref="C56:F56"/>
    <mergeCell ref="A57:B57"/>
    <mergeCell ref="C57:F57"/>
    <mergeCell ref="A58:B58"/>
    <mergeCell ref="C58:F58"/>
    <mergeCell ref="A59:B59"/>
    <mergeCell ref="C59:F59"/>
    <mergeCell ref="A60:B60"/>
    <mergeCell ref="C60:F60"/>
    <mergeCell ref="A61:B61"/>
    <mergeCell ref="C61:F61"/>
    <mergeCell ref="A62:B62"/>
    <mergeCell ref="C62:F62"/>
    <mergeCell ref="A63:B63"/>
    <mergeCell ref="C63:F63"/>
    <mergeCell ref="A64:B64"/>
    <mergeCell ref="C64:F64"/>
    <mergeCell ref="A65:B65"/>
    <mergeCell ref="C65:F65"/>
    <mergeCell ref="A69:B69"/>
    <mergeCell ref="C69:F69"/>
    <mergeCell ref="A70:B70"/>
    <mergeCell ref="C70:F70"/>
    <mergeCell ref="A66:B66"/>
    <mergeCell ref="C66:F66"/>
    <mergeCell ref="A67:B67"/>
    <mergeCell ref="C67:F67"/>
    <mergeCell ref="A68:B68"/>
    <mergeCell ref="C68:F6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showGridLines="0" zoomScaleNormal="100" workbookViewId="0">
      <selection activeCell="B12" sqref="B12"/>
    </sheetView>
  </sheetViews>
  <sheetFormatPr defaultColWidth="8.7109375" defaultRowHeight="15" x14ac:dyDescent="0.25"/>
  <cols>
    <col min="1" max="1" width="22" customWidth="1"/>
    <col min="2" max="2" width="100" customWidth="1"/>
  </cols>
  <sheetData>
    <row r="1" spans="1:2" ht="25.5" customHeight="1" x14ac:dyDescent="0.25">
      <c r="A1" s="36" t="s">
        <v>0</v>
      </c>
      <c r="B1" s="36"/>
    </row>
    <row r="2" spans="1:2" ht="30" customHeight="1" x14ac:dyDescent="0.25">
      <c r="A2" s="37" t="s">
        <v>1</v>
      </c>
      <c r="B2" s="37"/>
    </row>
    <row r="4" spans="1:2" ht="42" customHeight="1" x14ac:dyDescent="0.25">
      <c r="A4" s="2" t="s">
        <v>2</v>
      </c>
      <c r="B4" s="3" t="s">
        <v>3</v>
      </c>
    </row>
    <row r="6" spans="1:2" ht="19.5" customHeight="1" x14ac:dyDescent="0.25">
      <c r="A6" s="35" t="s">
        <v>4</v>
      </c>
      <c r="B6" s="35"/>
    </row>
    <row r="7" spans="1:2" ht="27.75" customHeight="1" x14ac:dyDescent="0.25">
      <c r="A7" s="2" t="s">
        <v>5</v>
      </c>
      <c r="B7" s="3" t="s">
        <v>6</v>
      </c>
    </row>
    <row r="8" spans="1:2" ht="42" customHeight="1" x14ac:dyDescent="0.25">
      <c r="A8" s="2" t="s">
        <v>7</v>
      </c>
      <c r="B8" s="3" t="s">
        <v>8</v>
      </c>
    </row>
    <row r="9" spans="1:2" ht="42" customHeight="1" x14ac:dyDescent="0.25">
      <c r="A9" s="2" t="s">
        <v>9</v>
      </c>
      <c r="B9" s="3" t="s">
        <v>10</v>
      </c>
    </row>
    <row r="10" spans="1:2" ht="27.75" customHeight="1" x14ac:dyDescent="0.25">
      <c r="A10" s="2" t="s">
        <v>11</v>
      </c>
      <c r="B10" s="3" t="s">
        <v>12</v>
      </c>
    </row>
    <row r="11" spans="1:2" ht="27.75" customHeight="1" x14ac:dyDescent="0.25">
      <c r="A11" s="2" t="s">
        <v>13</v>
      </c>
      <c r="B11" s="3" t="s">
        <v>14</v>
      </c>
    </row>
    <row r="12" spans="1:2" ht="27.75" customHeight="1" x14ac:dyDescent="0.25">
      <c r="A12" s="2" t="s">
        <v>15</v>
      </c>
      <c r="B12" s="3" t="s">
        <v>16</v>
      </c>
    </row>
    <row r="14" spans="1:2" ht="19.5" customHeight="1" x14ac:dyDescent="0.25">
      <c r="A14" s="35" t="s">
        <v>17</v>
      </c>
      <c r="B14" s="35"/>
    </row>
    <row r="15" spans="1:2" ht="27.75" customHeight="1" x14ac:dyDescent="0.25">
      <c r="A15" s="2" t="s">
        <v>18</v>
      </c>
      <c r="B15" s="3" t="s">
        <v>19</v>
      </c>
    </row>
    <row r="16" spans="1:2" ht="27.75" customHeight="1" x14ac:dyDescent="0.25">
      <c r="A16" s="2" t="s">
        <v>20</v>
      </c>
      <c r="B16" s="3" t="s">
        <v>21</v>
      </c>
    </row>
    <row r="17" spans="1:2" ht="27.75" customHeight="1" x14ac:dyDescent="0.25">
      <c r="A17" s="2" t="s">
        <v>22</v>
      </c>
      <c r="B17" s="3" t="s">
        <v>23</v>
      </c>
    </row>
    <row r="19" spans="1:2" ht="19.5" customHeight="1" x14ac:dyDescent="0.25">
      <c r="A19" s="35" t="s">
        <v>24</v>
      </c>
      <c r="B19" s="35"/>
    </row>
    <row r="20" spans="1:2" ht="42" customHeight="1" x14ac:dyDescent="0.25">
      <c r="A20" s="2" t="s">
        <v>25</v>
      </c>
      <c r="B20" s="3" t="s">
        <v>26</v>
      </c>
    </row>
    <row r="22" spans="1:2" ht="19.5" customHeight="1" x14ac:dyDescent="0.25">
      <c r="A22" s="35" t="s">
        <v>27</v>
      </c>
      <c r="B22" s="35"/>
    </row>
    <row r="23" spans="1:2" ht="27.75" customHeight="1" x14ac:dyDescent="0.25">
      <c r="A23" s="2" t="s">
        <v>28</v>
      </c>
      <c r="B23" s="3" t="s">
        <v>29</v>
      </c>
    </row>
    <row r="24" spans="1:2" ht="27.75" customHeight="1" x14ac:dyDescent="0.25">
      <c r="A24" s="2" t="s">
        <v>30</v>
      </c>
      <c r="B24" s="3" t="s">
        <v>31</v>
      </c>
    </row>
    <row r="25" spans="1:2" ht="27.75" customHeight="1" x14ac:dyDescent="0.25">
      <c r="A25" s="2" t="s">
        <v>32</v>
      </c>
      <c r="B25" s="3" t="s">
        <v>33</v>
      </c>
    </row>
  </sheetData>
  <sheetProtection algorithmName="SHA-512" hashValue="hlXy0tcKzDzZS1wgkMyouoDQxA4VaDom4aFB9o8CyjJ+onLr9W/1ZWvyJwgFmWfMTul1yD1kvkA196kULjEHbg==" saltValue="MB2sPWawruzf8rbwGg8xwA==" spinCount="100000" sheet="1" objects="1" scenarios="1"/>
  <mergeCells count="6">
    <mergeCell ref="A22:B22"/>
    <mergeCell ref="A1:B1"/>
    <mergeCell ref="A2:B2"/>
    <mergeCell ref="A6:B6"/>
    <mergeCell ref="A14:B14"/>
    <mergeCell ref="A19:B19"/>
  </mergeCells>
  <pageMargins left="0.75" right="0.75" top="1" bottom="1" header="0.511811023622047" footer="0.511811023622047"/>
  <pageSetup paperSize="9" orientation="portrait" horizontalDpi="300" verticalDpi="300"/>
  <headerFooter>
    <oddHeader>&amp;C&amp;"Aptos"&amp;10&amp;K008000 This Email / Document has been classified as Public by Olu Oke&amp;1#_x000D_</oddHeader>
    <oddFooter>&amp;C_x000D_&amp;1#&amp;"Aptos"&amp;10&amp;K000000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7A44"/>
  </sheetPr>
  <dimension ref="A1:Y74"/>
  <sheetViews>
    <sheetView showGridLines="0" tabSelected="1" zoomScaleNormal="100" workbookViewId="0">
      <pane ySplit="3" topLeftCell="A4" activePane="bottomLeft" state="frozen"/>
      <selection pane="bottomLeft" activeCell="D8" sqref="D8"/>
    </sheetView>
  </sheetViews>
  <sheetFormatPr defaultColWidth="8.7109375" defaultRowHeight="15" x14ac:dyDescent="0.25"/>
  <cols>
    <col min="1" max="1" width="28.5703125" customWidth="1"/>
    <col min="2" max="2" width="18.140625" customWidth="1"/>
    <col min="3" max="3" width="3" customWidth="1"/>
    <col min="4" max="4" width="28.5703125" customWidth="1"/>
    <col min="5" max="5" width="15.5703125" customWidth="1"/>
    <col min="6" max="6" width="9.140625" customWidth="1"/>
    <col min="7" max="7" width="11.85546875" customWidth="1"/>
    <col min="8" max="8" width="13.7109375" customWidth="1"/>
    <col min="9" max="9" width="3" customWidth="1"/>
    <col min="10" max="10" width="21.28515625" customWidth="1"/>
    <col min="11" max="11" width="14.85546875" customWidth="1"/>
    <col min="12" max="12" width="12.5703125" customWidth="1"/>
    <col min="13" max="13" width="15.5703125" customWidth="1"/>
    <col min="14" max="14" width="3.42578125" customWidth="1"/>
  </cols>
  <sheetData>
    <row r="1" spans="1:25" ht="25.5" customHeight="1" x14ac:dyDescent="0.25">
      <c r="A1" s="110" t="s">
        <v>201</v>
      </c>
      <c r="B1" s="110"/>
      <c r="C1" s="110"/>
      <c r="D1" s="110"/>
      <c r="E1" s="110"/>
      <c r="F1" s="110"/>
      <c r="G1" s="110"/>
      <c r="H1" s="110"/>
      <c r="I1" s="110"/>
      <c r="J1" s="110"/>
      <c r="K1" s="110"/>
      <c r="L1" s="110"/>
      <c r="M1" s="110"/>
      <c r="N1" s="110"/>
      <c r="O1" s="111"/>
      <c r="P1" s="111"/>
      <c r="Q1" s="111"/>
      <c r="R1" s="111"/>
      <c r="S1" s="111"/>
      <c r="T1" s="111"/>
      <c r="U1" s="111"/>
      <c r="V1" s="111"/>
      <c r="W1" s="111"/>
      <c r="X1" s="111" t="s">
        <v>128</v>
      </c>
      <c r="Y1" s="111">
        <f>K15</f>
        <v>332161.91126460239</v>
      </c>
    </row>
    <row r="2" spans="1:25" ht="30" customHeight="1" x14ac:dyDescent="0.25">
      <c r="A2" s="112" t="s">
        <v>34</v>
      </c>
      <c r="B2" s="112"/>
      <c r="C2" s="112"/>
      <c r="D2" s="112"/>
      <c r="E2" s="112"/>
      <c r="F2" s="112"/>
      <c r="G2" s="112"/>
      <c r="H2" s="112"/>
      <c r="I2" s="112"/>
      <c r="J2" s="112"/>
      <c r="K2" s="112"/>
      <c r="L2" s="112"/>
      <c r="M2" s="112"/>
      <c r="N2" s="112"/>
      <c r="O2" s="111"/>
      <c r="P2" s="111"/>
      <c r="Q2" s="111"/>
      <c r="R2" s="111"/>
      <c r="S2" s="111"/>
      <c r="T2" s="111"/>
      <c r="U2" s="111"/>
      <c r="V2" s="111"/>
      <c r="W2" s="111"/>
      <c r="X2" s="111" t="s">
        <v>473</v>
      </c>
      <c r="Y2" s="111">
        <f>L15</f>
        <v>135966.12643934094</v>
      </c>
    </row>
    <row r="3" spans="1:25" ht="39.950000000000003" customHeight="1" x14ac:dyDescent="0.25">
      <c r="A3" s="113" t="str">
        <f>"This scheme is funded by "&amp;Inputs!$C$5&amp;" and makes about "&amp;Inputs!$C$79&amp;TEXT($M$8,"#,##0")&amp;" profit, a "&amp;TEXT($M$8/(Inputs!$C$53+Engine!$B$21),"0.0%")&amp;" profit on cost. "&amp;IF((ROUND($M$8/(Inputs!$C$53+Engine!$B$21)*100,1)-ROUND(Inputs!$C$47*100,1))=0,"That is in line with your "&amp;TEXT(Inputs!$C$47,"0.0%")&amp;" target.","That is "&amp;TEXT(ABS((ROUND($M$8/(Inputs!$C$53+Engine!$B$21)*100,1)-ROUND(Inputs!$C$47*100,1))),"0.0")&amp;" points "&amp;IF((ROUND($M$8/(Inputs!$C$53+Engine!$B$21)*100,1)-ROUND(Inputs!$C$47*100,1))&gt;0,"above","below")&amp;" your "&amp;TEXT(Inputs!$C$47,"0.0%")&amp;" target.")&amp;" "&amp;IF($M$8&lt;=0,"On these numbers the scheme loses money, so this is a No Go.",IF(($M$8/(Inputs!$C$53+Engine!$B$21)-Inputs!$C$47)&gt;=Inputs!$C$115,"That comfortably clears your hurdle, a strong margin, so this looks like a Go.",IF(($M$8/(Inputs!$C$53+Engine!$B$21)-Inputs!$C$47)&gt;=0,"That clears your hurdle, so this is a Go.",IF(($M$8/(Inputs!$C$53+Engine!$B$21)-Inputs!$C$47)&gt;=-Inputs!$C$115/2,"That is marginally under your target, broadly in line, so treat it as Consider.",IF(($M$8/(Inputs!$C$53+Engine!$B$21)-Inputs!$C$47)&gt;=-Inputs!$C$115,"That is below your target, so the margin is thinner than you would like, a Consider.","That is well short of your hurdle, the numbers do not work as they stand, so this is a No Go.")))))&amp;IF($M$8&gt;0," As a safety cushion, sale values could come in about "&amp;TEXT($M$8/Inputs!$C$25,"0.0%")&amp;" below plan before the profit disappears.","")</f>
        <v>This scheme is funded by Joint venture and makes about ₦614,633 profit, a 19.5% profit on cost. That is 0.5 points below your 20.0% target. That is marginally under your target, broadly in line, so treat it as Consider. As a safety cushion, sale values could come in about 16.3% below plan before the profit disappears.</v>
      </c>
      <c r="B3" s="113"/>
      <c r="C3" s="113"/>
      <c r="D3" s="113"/>
      <c r="E3" s="113"/>
      <c r="F3" s="113"/>
      <c r="G3" s="113"/>
      <c r="H3" s="113"/>
      <c r="I3" s="113"/>
      <c r="J3" s="113"/>
      <c r="K3" s="113"/>
      <c r="L3" s="113"/>
      <c r="M3" s="113"/>
      <c r="N3" s="113"/>
      <c r="O3" s="111"/>
      <c r="P3" s="111"/>
      <c r="Q3" s="111"/>
      <c r="R3" s="111"/>
      <c r="S3" s="111"/>
      <c r="T3" s="111"/>
      <c r="U3" s="111"/>
      <c r="V3" s="111"/>
      <c r="W3" s="111"/>
      <c r="X3" s="111" t="s">
        <v>129</v>
      </c>
      <c r="Y3" s="111">
        <f>M15</f>
        <v>223504.65364534897</v>
      </c>
    </row>
    <row r="4" spans="1:25" x14ac:dyDescent="0.25">
      <c r="A4" s="232" t="str">
        <f>"All amounts in "&amp;Inputs!$C$80&amp;" ("&amp;Inputs!$C$79&amp;")"</f>
        <v>All amounts in NGN (₦)</v>
      </c>
      <c r="B4" s="231"/>
      <c r="C4" s="231"/>
      <c r="D4" s="231"/>
      <c r="E4" s="231"/>
      <c r="F4" s="231"/>
      <c r="G4" s="231"/>
      <c r="H4" s="231"/>
      <c r="I4" s="231"/>
      <c r="J4" s="231"/>
      <c r="K4" s="231"/>
      <c r="L4" s="231"/>
      <c r="M4" s="231"/>
      <c r="N4" s="231"/>
      <c r="O4" s="111"/>
      <c r="P4" s="111"/>
      <c r="Q4" s="111"/>
      <c r="R4" s="111"/>
      <c r="S4" s="111"/>
      <c r="T4" s="111"/>
      <c r="U4" s="111"/>
      <c r="V4" s="111"/>
      <c r="W4" s="111"/>
      <c r="X4" s="111"/>
      <c r="Y4" s="111"/>
    </row>
    <row r="5" spans="1:25" x14ac:dyDescent="0.25">
      <c r="A5" s="114" t="s">
        <v>438</v>
      </c>
      <c r="B5" s="115"/>
      <c r="C5" s="111"/>
      <c r="D5" s="114" t="s">
        <v>439</v>
      </c>
      <c r="E5" s="116"/>
      <c r="F5" s="116"/>
      <c r="G5" s="116"/>
      <c r="H5" s="115"/>
      <c r="I5" s="111"/>
      <c r="J5" s="114" t="s">
        <v>440</v>
      </c>
      <c r="K5" s="116"/>
      <c r="L5" s="116"/>
      <c r="M5" s="116"/>
      <c r="N5" s="115"/>
      <c r="O5" s="111"/>
      <c r="P5" s="111"/>
      <c r="Q5" s="111"/>
      <c r="R5" s="111"/>
      <c r="S5" s="111"/>
      <c r="T5" s="111"/>
      <c r="U5" s="111"/>
      <c r="V5" s="111"/>
      <c r="W5" s="111"/>
      <c r="X5" s="111"/>
      <c r="Y5" s="111"/>
    </row>
    <row r="6" spans="1:25" x14ac:dyDescent="0.25">
      <c r="A6" s="117" t="s">
        <v>441</v>
      </c>
      <c r="B6" s="118" t="str">
        <f>Inputs!$C$5</f>
        <v>Joint venture</v>
      </c>
      <c r="C6" s="111"/>
      <c r="D6" s="119"/>
      <c r="E6" s="120" t="str">
        <f>Inputs!$C$79</f>
        <v>₦</v>
      </c>
      <c r="F6" s="120" t="s">
        <v>450</v>
      </c>
      <c r="G6" s="120" t="str">
        <f>Inputs!$C$79&amp;"/ft²"</f>
        <v>₦/ft²</v>
      </c>
      <c r="H6" s="121" t="str">
        <f>Inputs!$C$79&amp;"/plot"</f>
        <v>₦/plot</v>
      </c>
      <c r="I6" s="111"/>
      <c r="J6" s="119"/>
      <c r="K6" s="120" t="s">
        <v>466</v>
      </c>
      <c r="L6" s="120" t="s">
        <v>467</v>
      </c>
      <c r="M6" s="120" t="s">
        <v>468</v>
      </c>
      <c r="N6" s="122"/>
      <c r="O6" s="111"/>
      <c r="P6" s="111"/>
      <c r="Q6" s="111"/>
      <c r="R6" s="111"/>
      <c r="S6" s="111"/>
      <c r="T6" s="111"/>
      <c r="U6" s="111"/>
      <c r="V6" s="111"/>
      <c r="W6" s="111"/>
      <c r="X6" s="111"/>
      <c r="Y6" s="111"/>
    </row>
    <row r="7" spans="1:25" x14ac:dyDescent="0.25">
      <c r="A7" s="117" t="s">
        <v>442</v>
      </c>
      <c r="B7" s="123">
        <f>Inputs!$C$23</f>
        <v>3850000</v>
      </c>
      <c r="C7" s="111"/>
      <c r="D7" s="124" t="s">
        <v>451</v>
      </c>
      <c r="E7" s="125"/>
      <c r="F7" s="125"/>
      <c r="G7" s="125"/>
      <c r="H7" s="126"/>
      <c r="I7" s="111"/>
      <c r="J7" s="117" t="s">
        <v>469</v>
      </c>
      <c r="K7" s="48">
        <f>Engine!$B$38</f>
        <v>0.20863441114028691</v>
      </c>
      <c r="L7" s="49">
        <f>Engine!$B$39</f>
        <v>1.3038710767666617</v>
      </c>
      <c r="M7" s="127">
        <f>Inputs!$C$25-Inputs!$C$53</f>
        <v>879309</v>
      </c>
      <c r="N7" s="122"/>
      <c r="O7" s="111"/>
      <c r="P7" s="111"/>
      <c r="Q7" s="111"/>
      <c r="R7" s="111"/>
      <c r="S7" s="111"/>
      <c r="T7" s="111"/>
      <c r="U7" s="111"/>
      <c r="V7" s="111"/>
      <c r="W7" s="111"/>
      <c r="X7" s="111"/>
      <c r="Y7" s="111"/>
    </row>
    <row r="8" spans="1:25" x14ac:dyDescent="0.25">
      <c r="A8" s="117" t="s">
        <v>443</v>
      </c>
      <c r="B8" s="128">
        <f>Inputs!$C$25</f>
        <v>3773000</v>
      </c>
      <c r="C8" s="111"/>
      <c r="D8" s="117" t="s">
        <v>452</v>
      </c>
      <c r="E8" s="127">
        <f>Inputs!$C$30</f>
        <v>525000</v>
      </c>
      <c r="F8" s="50">
        <f>IFERROR(E8/$E$15,0)</f>
        <v>0.18142918507884911</v>
      </c>
      <c r="G8" s="129" t="str">
        <f>IF(Inputs!$C$74="","",E8/Inputs!$C$74)</f>
        <v/>
      </c>
      <c r="H8" s="130" t="str">
        <f>IF(Inputs!$C$75="","",E8/Inputs!$C$75)</f>
        <v/>
      </c>
      <c r="I8" s="111"/>
      <c r="J8" s="131" t="s">
        <v>470</v>
      </c>
      <c r="K8" s="51">
        <f>Engine!$B$40</f>
        <v>0.3225051920875448</v>
      </c>
      <c r="L8" s="52">
        <f>Engine!$B$41</f>
        <v>1.4890585568654191</v>
      </c>
      <c r="M8" s="132">
        <f>Inputs!$C$25-(Inputs!$C$53+Engine!$B$21)</f>
        <v>614632.69134929217</v>
      </c>
      <c r="N8" s="122"/>
      <c r="O8" s="111"/>
      <c r="P8" s="111"/>
      <c r="Q8" s="111"/>
      <c r="R8" s="111"/>
      <c r="S8" s="111"/>
      <c r="T8" s="111"/>
      <c r="U8" s="111"/>
      <c r="V8" s="111"/>
      <c r="W8" s="111"/>
      <c r="X8" s="111"/>
      <c r="Y8" s="111"/>
    </row>
    <row r="9" spans="1:25" x14ac:dyDescent="0.25">
      <c r="A9" s="117" t="s">
        <v>444</v>
      </c>
      <c r="B9" s="53" t="str">
        <f>IF(Inputs!$C$74="","–",Inputs!$C$74)</f>
        <v>–</v>
      </c>
      <c r="C9" s="111"/>
      <c r="D9" s="117" t="s">
        <v>453</v>
      </c>
      <c r="E9" s="127">
        <f>Inputs!$C$18*Inputs!$C$31</f>
        <v>0</v>
      </c>
      <c r="F9" s="50">
        <f>IFERROR(E9/$E$15,0)</f>
        <v>0</v>
      </c>
      <c r="G9" s="129" t="str">
        <f>IF(Inputs!$C$74="","",E9/Inputs!$C$74)</f>
        <v/>
      </c>
      <c r="H9" s="130" t="str">
        <f>IF(Inputs!$C$75="","",E9/Inputs!$C$75)</f>
        <v/>
      </c>
      <c r="I9" s="111"/>
      <c r="J9" s="117" t="s">
        <v>471</v>
      </c>
      <c r="K9" s="48">
        <f>Engine!$B$45</f>
        <v>0.25042973704983007</v>
      </c>
      <c r="L9" s="49">
        <f>Engine!$B$46</f>
        <v>1.3667939176490644</v>
      </c>
      <c r="M9" s="127">
        <f>Engine!$B$44</f>
        <v>460974.51851196913</v>
      </c>
      <c r="N9" s="122"/>
      <c r="O9" s="111"/>
      <c r="P9" s="111"/>
      <c r="Q9" s="111"/>
      <c r="R9" s="111"/>
      <c r="S9" s="111"/>
      <c r="T9" s="111"/>
      <c r="U9" s="111"/>
      <c r="V9" s="111"/>
      <c r="W9" s="111"/>
      <c r="X9" s="111"/>
      <c r="Y9" s="111"/>
    </row>
    <row r="10" spans="1:25" x14ac:dyDescent="0.25">
      <c r="A10" s="117" t="s">
        <v>435</v>
      </c>
      <c r="B10" s="53" t="str">
        <f>IF(Inputs!$C$75="","–",Inputs!$C$75)</f>
        <v>–</v>
      </c>
      <c r="C10" s="111"/>
      <c r="D10" s="117" t="s">
        <v>247</v>
      </c>
      <c r="E10" s="127">
        <f>Inputs!$C$97</f>
        <v>2014249</v>
      </c>
      <c r="F10" s="50">
        <f>IFERROR(E10/$E$15,0)</f>
        <v>0.69608296117311763</v>
      </c>
      <c r="G10" s="129" t="str">
        <f>IF(Inputs!$C$74="","",E10/Inputs!$C$74)</f>
        <v/>
      </c>
      <c r="H10" s="130" t="str">
        <f>IF(Inputs!$C$75="","",E10/Inputs!$C$75)</f>
        <v/>
      </c>
      <c r="I10" s="111"/>
      <c r="J10" s="119"/>
      <c r="K10" s="133"/>
      <c r="L10" s="133"/>
      <c r="M10" s="133"/>
      <c r="N10" s="122"/>
      <c r="O10" s="111"/>
      <c r="P10" s="111"/>
      <c r="Q10" s="111"/>
      <c r="R10" s="111"/>
      <c r="S10" s="111"/>
      <c r="T10" s="111"/>
      <c r="U10" s="111"/>
      <c r="V10" s="111"/>
      <c r="W10" s="111"/>
      <c r="X10" s="111"/>
      <c r="Y10" s="111"/>
    </row>
    <row r="11" spans="1:25" x14ac:dyDescent="0.25">
      <c r="A11" s="124" t="s">
        <v>445</v>
      </c>
      <c r="B11" s="126"/>
      <c r="C11" s="111"/>
      <c r="D11" s="117" t="s">
        <v>61</v>
      </c>
      <c r="E11" s="127">
        <f>Inputs!$C$27</f>
        <v>221567</v>
      </c>
      <c r="F11" s="50">
        <f>IFERROR(E11/$E$15,0)</f>
        <v>7.6568990953076885E-2</v>
      </c>
      <c r="G11" s="129" t="str">
        <f>IF(Inputs!$C$74="","",E11/Inputs!$C$74)</f>
        <v/>
      </c>
      <c r="H11" s="130" t="str">
        <f>IF(Inputs!$C$75="","",E11/Inputs!$C$75)</f>
        <v/>
      </c>
      <c r="I11" s="111"/>
      <c r="J11" s="124" t="s">
        <v>472</v>
      </c>
      <c r="K11" s="125"/>
      <c r="L11" s="125"/>
      <c r="M11" s="125"/>
      <c r="N11" s="126"/>
      <c r="O11" s="111"/>
      <c r="P11" s="111"/>
      <c r="Q11" s="111"/>
      <c r="R11" s="111"/>
      <c r="S11" s="111"/>
      <c r="T11" s="111"/>
      <c r="U11" s="111"/>
      <c r="V11" s="111"/>
      <c r="W11" s="111"/>
      <c r="X11" s="111"/>
      <c r="Y11" s="111"/>
    </row>
    <row r="12" spans="1:25" x14ac:dyDescent="0.25">
      <c r="A12" s="117" t="s">
        <v>446</v>
      </c>
      <c r="B12" s="134">
        <f>Inputs!$C$32</f>
        <v>30</v>
      </c>
      <c r="C12" s="111"/>
      <c r="D12" s="117" t="s">
        <v>454</v>
      </c>
      <c r="E12" s="127">
        <f>Inputs!$C$28</f>
        <v>48000</v>
      </c>
      <c r="F12" s="50">
        <f>IFERROR(E12/$E$15,0)</f>
        <v>1.6587811207209063E-2</v>
      </c>
      <c r="G12" s="129" t="str">
        <f>IF(Inputs!$C$74="","",E12/Inputs!$C$74)</f>
        <v/>
      </c>
      <c r="H12" s="130" t="str">
        <f>IF(Inputs!$C$75="","",E12/Inputs!$C$75)</f>
        <v/>
      </c>
      <c r="I12" s="111"/>
      <c r="J12" s="119"/>
      <c r="K12" s="120" t="s">
        <v>128</v>
      </c>
      <c r="L12" s="120" t="s">
        <v>473</v>
      </c>
      <c r="M12" s="120" t="s">
        <v>129</v>
      </c>
      <c r="N12" s="122"/>
      <c r="O12" s="111"/>
      <c r="P12" s="111"/>
      <c r="Q12" s="111"/>
      <c r="R12" s="111"/>
      <c r="S12" s="111"/>
      <c r="T12" s="111"/>
      <c r="U12" s="111"/>
      <c r="V12" s="111"/>
      <c r="W12" s="111"/>
      <c r="X12" s="111"/>
      <c r="Y12" s="111"/>
    </row>
    <row r="13" spans="1:25" x14ac:dyDescent="0.25">
      <c r="A13" s="117" t="s">
        <v>447</v>
      </c>
      <c r="B13" s="55">
        <f>Inputs!$C$10</f>
        <v>46204</v>
      </c>
      <c r="C13" s="111"/>
      <c r="D13" s="117" t="s">
        <v>455</v>
      </c>
      <c r="E13" s="127">
        <f>Inputs!$C$29</f>
        <v>7875</v>
      </c>
      <c r="F13" s="50">
        <f>IFERROR(E13/$E$15,0)</f>
        <v>2.7214377761827367E-3</v>
      </c>
      <c r="G13" s="129" t="str">
        <f>IF(Inputs!$C$74="","",E13/Inputs!$C$74)</f>
        <v/>
      </c>
      <c r="H13" s="130" t="str">
        <f>IF(Inputs!$C$75="","",E13/Inputs!$C$75)</f>
        <v/>
      </c>
      <c r="I13" s="111"/>
      <c r="J13" s="117" t="s">
        <v>474</v>
      </c>
      <c r="K13" s="127">
        <f>Waterfall!$C$6</f>
        <v>219530.12209134857</v>
      </c>
      <c r="L13" s="127">
        <f>Waterfall!$D$6</f>
        <v>512236.95154647989</v>
      </c>
      <c r="M13" s="127">
        <f>Waterfall!$E$6</f>
        <v>525000</v>
      </c>
      <c r="N13" s="122"/>
      <c r="O13" s="111"/>
      <c r="P13" s="111"/>
      <c r="Q13" s="111"/>
      <c r="R13" s="111"/>
      <c r="S13" s="111"/>
      <c r="T13" s="111"/>
      <c r="U13" s="111"/>
      <c r="V13" s="111"/>
      <c r="W13" s="111"/>
      <c r="X13" s="111"/>
      <c r="Y13" s="111"/>
    </row>
    <row r="14" spans="1:25" x14ac:dyDescent="0.25">
      <c r="A14" s="117" t="s">
        <v>448</v>
      </c>
      <c r="B14" s="55">
        <f>EDATE(Inputs!$C$10,Inputs!$C$35-1)</f>
        <v>47088</v>
      </c>
      <c r="C14" s="111"/>
      <c r="D14" s="117" t="s">
        <v>94</v>
      </c>
      <c r="E14" s="127">
        <f>Inputs!$C$50</f>
        <v>77000</v>
      </c>
      <c r="F14" s="50">
        <f>IFERROR(E14/$E$15,0)</f>
        <v>2.6609613811564539E-2</v>
      </c>
      <c r="G14" s="129" t="str">
        <f>IF(Inputs!$C$74="","",E14/Inputs!$C$74)</f>
        <v/>
      </c>
      <c r="H14" s="130" t="str">
        <f>IF(Inputs!$C$75="","",E14/Inputs!$C$75)</f>
        <v/>
      </c>
      <c r="I14" s="111"/>
      <c r="J14" s="117" t="s">
        <v>475</v>
      </c>
      <c r="K14" s="127">
        <f>Waterfall!$C$33</f>
        <v>551692.03335595096</v>
      </c>
      <c r="L14" s="127">
        <f>Waterfall!$D$33</f>
        <v>648203.07798582083</v>
      </c>
      <c r="M14" s="127">
        <f>Waterfall!$E$33</f>
        <v>748504.65364534897</v>
      </c>
      <c r="N14" s="122"/>
      <c r="O14" s="111"/>
      <c r="P14" s="111"/>
      <c r="Q14" s="111"/>
      <c r="R14" s="111"/>
      <c r="S14" s="111"/>
      <c r="T14" s="111"/>
      <c r="U14" s="111"/>
      <c r="V14" s="111"/>
      <c r="W14" s="111"/>
      <c r="X14" s="111"/>
      <c r="Y14" s="111"/>
    </row>
    <row r="15" spans="1:25" x14ac:dyDescent="0.25">
      <c r="A15" s="117" t="s">
        <v>449</v>
      </c>
      <c r="B15" s="134" t="str">
        <f>Inputs!$C$63</f>
        <v>No</v>
      </c>
      <c r="C15" s="111"/>
      <c r="D15" s="135" t="s">
        <v>456</v>
      </c>
      <c r="E15" s="136">
        <f>Inputs!$C$53</f>
        <v>2893691</v>
      </c>
      <c r="F15" s="56">
        <f>IFERROR(E15/$E$15,0)</f>
        <v>1</v>
      </c>
      <c r="G15" s="137" t="str">
        <f>IF(Inputs!$C$74="","",E15/Inputs!$C$74)</f>
        <v/>
      </c>
      <c r="H15" s="138" t="str">
        <f>IF(Inputs!$C$75="","",E15/Inputs!$C$75)</f>
        <v/>
      </c>
      <c r="I15" s="111"/>
      <c r="J15" s="131" t="s">
        <v>468</v>
      </c>
      <c r="K15" s="132">
        <f>Waterfall!$C$35</f>
        <v>332161.91126460239</v>
      </c>
      <c r="L15" s="132">
        <f>Waterfall!$D$35</f>
        <v>135966.12643934094</v>
      </c>
      <c r="M15" s="132">
        <f>Waterfall!$E$35</f>
        <v>223504.65364534897</v>
      </c>
      <c r="N15" s="122"/>
      <c r="O15" s="111"/>
      <c r="P15" s="111"/>
      <c r="Q15" s="111"/>
      <c r="R15" s="111"/>
      <c r="S15" s="111"/>
      <c r="T15" s="111"/>
      <c r="U15" s="111"/>
      <c r="V15" s="111"/>
      <c r="W15" s="111"/>
      <c r="X15" s="111"/>
      <c r="Y15" s="111"/>
    </row>
    <row r="16" spans="1:25" x14ac:dyDescent="0.25">
      <c r="A16" s="139" t="s">
        <v>41</v>
      </c>
      <c r="B16" s="57">
        <f>Inputs!$C$47</f>
        <v>0.2</v>
      </c>
      <c r="C16" s="111"/>
      <c r="D16" s="140" t="s">
        <v>457</v>
      </c>
      <c r="E16" s="141">
        <f>Engine!$B$21</f>
        <v>264676.30865070806</v>
      </c>
      <c r="F16" s="133"/>
      <c r="G16" s="133"/>
      <c r="H16" s="122"/>
      <c r="I16" s="111"/>
      <c r="J16" s="139" t="s">
        <v>370</v>
      </c>
      <c r="K16" s="58">
        <f>Waterfall!$C$36</f>
        <v>2.5130584727975811</v>
      </c>
      <c r="L16" s="58">
        <f>Waterfall!$D$36</f>
        <v>1.2654359979865755</v>
      </c>
      <c r="M16" s="58">
        <f>Waterfall!$E$36</f>
        <v>1.4257231498006646</v>
      </c>
      <c r="N16" s="142"/>
      <c r="O16" s="111"/>
      <c r="P16" s="111"/>
      <c r="Q16" s="111"/>
      <c r="R16" s="111"/>
      <c r="S16" s="111"/>
      <c r="T16" s="111"/>
      <c r="U16" s="111"/>
      <c r="V16" s="111"/>
      <c r="W16" s="111"/>
      <c r="X16" s="111"/>
      <c r="Y16" s="111"/>
    </row>
    <row r="17" spans="1:25" x14ac:dyDescent="0.25">
      <c r="A17" s="111"/>
      <c r="B17" s="111"/>
      <c r="C17" s="111"/>
      <c r="D17" s="124" t="s">
        <v>458</v>
      </c>
      <c r="E17" s="125"/>
      <c r="F17" s="125"/>
      <c r="G17" s="125"/>
      <c r="H17" s="126"/>
      <c r="I17" s="111"/>
      <c r="J17" s="239" t="s">
        <v>599</v>
      </c>
      <c r="K17" s="263">
        <f>Engine!$B$51</f>
        <v>5.0465773223007355</v>
      </c>
      <c r="L17" s="263">
        <f>Engine!$B$52</f>
        <v>0.6090743071612732</v>
      </c>
      <c r="M17" s="263">
        <f>Engine!$B$53</f>
        <v>0.15808038025449034</v>
      </c>
      <c r="N17" s="111"/>
      <c r="O17" s="111"/>
      <c r="P17" s="111"/>
      <c r="Q17" s="111"/>
      <c r="R17" s="111"/>
      <c r="S17" s="111"/>
      <c r="T17" s="111"/>
      <c r="U17" s="111"/>
      <c r="V17" s="111"/>
      <c r="W17" s="111"/>
      <c r="X17" s="111"/>
      <c r="Y17" s="111"/>
    </row>
    <row r="18" spans="1:25" ht="19.5" customHeight="1" x14ac:dyDescent="0.25">
      <c r="A18" s="146" t="s">
        <v>661</v>
      </c>
      <c r="B18" s="148"/>
      <c r="C18" s="111"/>
      <c r="D18" s="117" t="s">
        <v>459</v>
      </c>
      <c r="E18" s="127">
        <f>Inputs!$C$52-Engine!$B$23-Engine!$B$30-Engine!$B$27</f>
        <v>1636923.9263621715</v>
      </c>
      <c r="F18" s="50">
        <f>IFERROR(E18/$E$24,0)</f>
        <v>0.56568718856373112</v>
      </c>
      <c r="G18" s="129" t="str">
        <f>IF(Inputs!$C$74="","",E18/Inputs!$C$74)</f>
        <v/>
      </c>
      <c r="H18" s="130" t="str">
        <f>IF(Inputs!$C$75="","",E18/Inputs!$C$75)</f>
        <v/>
      </c>
      <c r="I18" s="111"/>
      <c r="J18" s="264" t="s">
        <v>600</v>
      </c>
      <c r="K18" s="265"/>
      <c r="L18" s="265"/>
      <c r="M18" s="265"/>
      <c r="N18" s="265"/>
      <c r="O18" s="111"/>
      <c r="P18" s="111"/>
      <c r="Q18" s="111"/>
      <c r="R18" s="111"/>
      <c r="S18" s="111"/>
      <c r="T18" s="111"/>
      <c r="U18" s="111"/>
      <c r="V18" s="111"/>
      <c r="W18" s="111"/>
      <c r="X18" s="111"/>
      <c r="Y18" s="111"/>
    </row>
    <row r="19" spans="1:25" ht="23.25" x14ac:dyDescent="0.35">
      <c r="A19" s="284" t="str">
        <f>IF($M$8&lt;=0,"NO GO",IF($M$8/(Inputs!$C$53+Engine!$B$21)&gt;=Inputs!$C$47,"GO",IF($M$8/(Inputs!$C$53+Engine!$B$21)&gt;=Inputs!$C$47-Inputs!$C$115,"CONSIDER","NO GO")))</f>
        <v>CONSIDER</v>
      </c>
      <c r="B19" s="286"/>
      <c r="C19" s="111"/>
      <c r="D19" s="117" t="s">
        <v>185</v>
      </c>
      <c r="E19" s="127">
        <f>Engine!$B$27</f>
        <v>0</v>
      </c>
      <c r="F19" s="50">
        <f>IFERROR(E19/$E$24,0)</f>
        <v>0</v>
      </c>
      <c r="G19" s="129" t="str">
        <f>IF(Inputs!$C$74="","",E19/Inputs!$C$74)</f>
        <v/>
      </c>
      <c r="H19" s="130" t="str">
        <f>IF(Inputs!$C$75="","",E19/Inputs!$C$75)</f>
        <v/>
      </c>
      <c r="I19" s="111"/>
      <c r="J19" s="275" t="s">
        <v>622</v>
      </c>
      <c r="K19" s="276"/>
      <c r="L19" s="276"/>
      <c r="M19" s="276"/>
      <c r="N19" s="277"/>
      <c r="O19" s="111"/>
      <c r="P19" s="111"/>
      <c r="Q19" s="111"/>
      <c r="R19" s="111"/>
      <c r="S19" s="111"/>
      <c r="T19" s="111"/>
      <c r="U19" s="111"/>
      <c r="V19" s="111"/>
      <c r="W19" s="111"/>
      <c r="X19" s="111"/>
      <c r="Y19" s="111"/>
    </row>
    <row r="20" spans="1:25" x14ac:dyDescent="0.25">
      <c r="A20" s="285" t="str">
        <f>IF((ROUND($M$8/(Inputs!$C$53+Engine!$B$21)*100,1)-ROUND(Inputs!$C$47*100,1))=0,"(in line with target)","("&amp;TEXT(ABS((ROUND($M$8/(Inputs!$C$53+Engine!$B$21)*100,1)-ROUND(Inputs!$C$47*100,1))),"0.0")&amp;" points "&amp;IF((ROUND($M$8/(Inputs!$C$53+Engine!$B$21)*100,1)-ROUND(Inputs!$C$47*100,1))&gt;0,"above","below")&amp;" target)")</f>
        <v>(0.5 points below target)</v>
      </c>
      <c r="B20" s="287"/>
      <c r="C20" s="111"/>
      <c r="D20" s="117" t="s">
        <v>460</v>
      </c>
      <c r="E20" s="127">
        <f>Engine!$B$30</f>
        <v>0</v>
      </c>
      <c r="F20" s="50">
        <f>IFERROR(E20/$E$24,0)</f>
        <v>0</v>
      </c>
      <c r="G20" s="129" t="str">
        <f>IF(Inputs!$C$74="","",E20/Inputs!$C$74)</f>
        <v/>
      </c>
      <c r="H20" s="130" t="str">
        <f>IF(Inputs!$C$75="","",E20/Inputs!$C$75)</f>
        <v/>
      </c>
      <c r="I20" s="111"/>
      <c r="J20" s="278" t="s">
        <v>623</v>
      </c>
      <c r="K20" s="279"/>
      <c r="L20" s="279"/>
      <c r="M20" s="280" t="str">
        <f>IF(ABS(Engine!$B$26)&lt;1,"OK","CHECK")</f>
        <v>OK</v>
      </c>
      <c r="N20" s="281"/>
      <c r="O20" s="111"/>
      <c r="P20" s="111"/>
      <c r="Q20" s="111"/>
      <c r="R20" s="111"/>
      <c r="S20" s="111"/>
      <c r="T20" s="111"/>
      <c r="U20" s="111"/>
      <c r="V20" s="111"/>
      <c r="W20" s="111"/>
      <c r="X20" s="111"/>
      <c r="Y20" s="111"/>
    </row>
    <row r="21" spans="1:25" x14ac:dyDescent="0.25">
      <c r="A21" s="111"/>
      <c r="B21" s="111"/>
      <c r="C21" s="111"/>
      <c r="D21" s="117" t="s">
        <v>461</v>
      </c>
      <c r="E21" s="127">
        <f>Engine!$B$24</f>
        <v>219530.12209134857</v>
      </c>
      <c r="F21" s="50">
        <f>IFERROR(E21/$E$24,0)</f>
        <v>7.5865087907225959E-2</v>
      </c>
      <c r="G21" s="129" t="str">
        <f>IF(Inputs!$C$74="","",E21/Inputs!$C$74)</f>
        <v/>
      </c>
      <c r="H21" s="130" t="str">
        <f>IF(Inputs!$C$75="","",E21/Inputs!$C$75)</f>
        <v/>
      </c>
      <c r="I21" s="111"/>
      <c r="J21" s="282" t="s">
        <v>624</v>
      </c>
      <c r="K21" s="283"/>
      <c r="L21" s="283"/>
      <c r="M21" s="280" t="str">
        <f>IF(ABS(Waterfall!$F$39)&lt;1,"OK","CHECK")</f>
        <v>OK</v>
      </c>
      <c r="N21" s="281"/>
      <c r="O21" s="111"/>
      <c r="P21" s="111"/>
      <c r="Q21" s="111"/>
      <c r="R21" s="111"/>
      <c r="S21" s="111"/>
      <c r="T21" s="111"/>
      <c r="U21" s="111"/>
      <c r="V21" s="111"/>
      <c r="W21" s="111"/>
      <c r="X21" s="111"/>
      <c r="Y21" s="111"/>
    </row>
    <row r="22" spans="1:25" x14ac:dyDescent="0.25">
      <c r="A22" s="111"/>
      <c r="B22" s="111"/>
      <c r="C22" s="111"/>
      <c r="D22" s="117" t="s">
        <v>462</v>
      </c>
      <c r="E22" s="127">
        <f>Engine!$B$25</f>
        <v>512236.95154647989</v>
      </c>
      <c r="F22" s="50">
        <f>IFERROR(E22/$E$24,0)</f>
        <v>0.17701853845019386</v>
      </c>
      <c r="G22" s="129" t="str">
        <f>IF(Inputs!$C$74="","",E22/Inputs!$C$74)</f>
        <v/>
      </c>
      <c r="H22" s="130" t="str">
        <f>IF(Inputs!$C$75="","",E22/Inputs!$C$75)</f>
        <v/>
      </c>
      <c r="I22" s="111"/>
      <c r="J22" s="282" t="s">
        <v>625</v>
      </c>
      <c r="K22" s="283"/>
      <c r="L22" s="283"/>
      <c r="M22" s="280" t="str">
        <f>IF(ABS(Cashflow!$AK$25-$M$8)&lt;1,"OK","CHECK")</f>
        <v>OK</v>
      </c>
      <c r="N22" s="281"/>
      <c r="O22" s="111"/>
      <c r="P22" s="111"/>
      <c r="Q22" s="111"/>
      <c r="R22" s="111"/>
      <c r="S22" s="111"/>
      <c r="T22" s="111"/>
      <c r="U22" s="111"/>
      <c r="V22" s="111"/>
      <c r="W22" s="111"/>
      <c r="X22" s="111"/>
      <c r="Y22" s="111"/>
    </row>
    <row r="23" spans="1:25" x14ac:dyDescent="0.25">
      <c r="A23" s="111"/>
      <c r="B23" s="111"/>
      <c r="C23" s="111"/>
      <c r="D23" s="117" t="s">
        <v>463</v>
      </c>
      <c r="E23" s="127">
        <f>IF(Inputs!$C$17=1,Inputs!$C$30,0)</f>
        <v>525000</v>
      </c>
      <c r="F23" s="50">
        <f>IFERROR(E23/$E$24,0)</f>
        <v>0.18142918507884911</v>
      </c>
      <c r="G23" s="129" t="str">
        <f>IF(Inputs!$C$74="","",E23/Inputs!$C$74)</f>
        <v/>
      </c>
      <c r="H23" s="130" t="str">
        <f>IF(Inputs!$C$75="","",E23/Inputs!$C$75)</f>
        <v/>
      </c>
      <c r="I23" s="111"/>
      <c r="J23" s="282" t="s">
        <v>626</v>
      </c>
      <c r="K23" s="283"/>
      <c r="L23" s="283"/>
      <c r="M23" s="280" t="str">
        <f>IF(ABS($E$25)&lt;1,"OK","CHECK")</f>
        <v>OK</v>
      </c>
      <c r="N23" s="281"/>
      <c r="O23" s="111"/>
      <c r="P23" s="111"/>
      <c r="Q23" s="111"/>
      <c r="R23" s="111"/>
      <c r="S23" s="111"/>
      <c r="T23" s="111"/>
      <c r="U23" s="111"/>
      <c r="V23" s="111"/>
      <c r="W23" s="111"/>
      <c r="X23" s="111"/>
      <c r="Y23" s="111"/>
    </row>
    <row r="24" spans="1:25" x14ac:dyDescent="0.25">
      <c r="A24" s="111"/>
      <c r="B24" s="111"/>
      <c r="C24" s="111"/>
      <c r="D24" s="131" t="s">
        <v>464</v>
      </c>
      <c r="E24" s="136">
        <f>SUM(E18:E23)</f>
        <v>2893691</v>
      </c>
      <c r="F24" s="56">
        <f>IFERROR(E24/$E$24,0)</f>
        <v>1</v>
      </c>
      <c r="G24" s="137" t="str">
        <f>IF(Inputs!$C$74="","",E24/Inputs!$C$74)</f>
        <v/>
      </c>
      <c r="H24" s="138" t="str">
        <f>IF(Inputs!$C$75="","",E24/Inputs!$C$75)</f>
        <v/>
      </c>
      <c r="I24" s="111"/>
      <c r="J24" s="282" t="s">
        <v>627</v>
      </c>
      <c r="K24" s="283"/>
      <c r="L24" s="283"/>
      <c r="M24" s="280" t="str">
        <f>IF(Inputs!$C$25&gt;=Engine!$B$20+Engine!$B$29,"OK","CHECK")</f>
        <v>OK</v>
      </c>
      <c r="N24" s="281"/>
      <c r="O24" s="111"/>
      <c r="P24" s="111"/>
      <c r="Q24" s="111"/>
      <c r="R24" s="111"/>
      <c r="S24" s="111"/>
      <c r="T24" s="111"/>
      <c r="U24" s="111"/>
      <c r="V24" s="111"/>
      <c r="W24" s="111"/>
      <c r="X24" s="111"/>
      <c r="Y24" s="111"/>
    </row>
    <row r="25" spans="1:25" ht="19.5" customHeight="1" x14ac:dyDescent="0.25">
      <c r="A25" s="111"/>
      <c r="B25" s="111"/>
      <c r="C25" s="111"/>
      <c r="D25" s="143" t="s">
        <v>465</v>
      </c>
      <c r="E25" s="144">
        <f>E24-E15</f>
        <v>0</v>
      </c>
      <c r="F25" s="145"/>
      <c r="G25" s="145"/>
      <c r="H25" s="142"/>
      <c r="I25" s="111"/>
      <c r="J25" s="282" t="s">
        <v>628</v>
      </c>
      <c r="K25" s="283"/>
      <c r="L25" s="283"/>
      <c r="M25" s="280" t="str">
        <f>IF($M$8&gt;=0,"OK","CHECK")</f>
        <v>OK</v>
      </c>
      <c r="N25" s="281"/>
      <c r="O25" s="111"/>
      <c r="P25" s="111"/>
      <c r="Q25" s="111"/>
      <c r="R25" s="111"/>
      <c r="S25" s="111"/>
      <c r="T25" s="111"/>
      <c r="U25" s="111"/>
      <c r="V25" s="111"/>
      <c r="W25" s="111"/>
      <c r="X25" s="111"/>
      <c r="Y25" s="111"/>
    </row>
    <row r="26" spans="1:25" ht="20.100000000000001" customHeight="1" x14ac:dyDescent="0.25">
      <c r="A26" s="111"/>
      <c r="B26" s="111"/>
      <c r="C26" s="111"/>
      <c r="D26" s="111"/>
      <c r="E26" s="111"/>
      <c r="F26" s="111"/>
      <c r="G26" s="111"/>
      <c r="H26" s="111"/>
      <c r="I26" s="111"/>
      <c r="J26" s="111"/>
      <c r="K26" s="111"/>
      <c r="L26" s="111"/>
      <c r="M26" s="111"/>
      <c r="N26" s="111"/>
      <c r="O26" s="111"/>
      <c r="P26" s="111"/>
      <c r="Q26" s="111"/>
      <c r="R26" s="111"/>
      <c r="S26" s="111"/>
      <c r="T26" s="111"/>
      <c r="U26" s="111"/>
      <c r="V26" s="111"/>
      <c r="W26" s="111"/>
      <c r="X26" s="111"/>
      <c r="Y26" s="111"/>
    </row>
    <row r="27" spans="1:25" ht="42" customHeight="1" x14ac:dyDescent="0.25">
      <c r="A27" s="111"/>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row>
    <row r="28" spans="1:25" ht="42" customHeight="1" x14ac:dyDescent="0.25">
      <c r="A28" s="146" t="s">
        <v>498</v>
      </c>
      <c r="B28" s="147"/>
      <c r="C28" s="147"/>
      <c r="D28" s="147"/>
      <c r="E28" s="147"/>
      <c r="F28" s="147"/>
      <c r="G28" s="147"/>
      <c r="H28" s="148"/>
      <c r="I28" s="111"/>
      <c r="J28" s="146" t="s">
        <v>484</v>
      </c>
      <c r="K28" s="147"/>
      <c r="L28" s="147"/>
      <c r="M28" s="147"/>
      <c r="N28" s="148"/>
      <c r="O28" s="111"/>
      <c r="P28" s="111"/>
      <c r="Q28" s="111"/>
      <c r="R28" s="111"/>
      <c r="S28" s="111"/>
      <c r="T28" s="111"/>
      <c r="U28" s="111"/>
      <c r="V28" s="111"/>
      <c r="W28" s="111"/>
      <c r="X28" s="111"/>
      <c r="Y28" s="111"/>
    </row>
    <row r="29" spans="1:25" ht="42" customHeight="1" x14ac:dyDescent="0.25">
      <c r="A29" s="149" t="s">
        <v>480</v>
      </c>
      <c r="B29" s="63">
        <f>IFERROR(Inputs!$C$54/Inputs!$C$53,0)</f>
        <v>0.6</v>
      </c>
      <c r="C29" s="133"/>
      <c r="D29" s="150" t="s">
        <v>354</v>
      </c>
      <c r="E29" s="64">
        <f>Inputs!$C$39</f>
        <v>0.6</v>
      </c>
      <c r="F29" s="133"/>
      <c r="G29" s="133"/>
      <c r="H29" s="122"/>
      <c r="I29" s="111"/>
      <c r="J29" s="149" t="s">
        <v>43</v>
      </c>
      <c r="K29" s="151" t="str">
        <f>IF($M$8/(Inputs!$C$53+Engine!$B$21)&gt;=Inputs!$C$47,"On or above target","Below target")</f>
        <v>Below target</v>
      </c>
      <c r="L29" s="151"/>
      <c r="M29" s="151"/>
      <c r="N29" s="152"/>
      <c r="O29" s="111"/>
      <c r="P29" s="111"/>
      <c r="Q29" s="111"/>
      <c r="R29" s="111"/>
      <c r="S29" s="111"/>
      <c r="T29" s="111"/>
      <c r="U29" s="111"/>
      <c r="V29" s="111"/>
      <c r="W29" s="111"/>
      <c r="X29" s="111"/>
      <c r="Y29" s="111"/>
    </row>
    <row r="30" spans="1:25" ht="42" customHeight="1" x14ac:dyDescent="0.25">
      <c r="A30" s="149" t="s">
        <v>481</v>
      </c>
      <c r="B30" s="63">
        <f>IFERROR(Inputs!$C$54/Inputs!$C$23,0)</f>
        <v>0.45096483116883113</v>
      </c>
      <c r="C30" s="133"/>
      <c r="D30" s="150" t="s">
        <v>355</v>
      </c>
      <c r="E30" s="64">
        <f>Inputs!$C$40</f>
        <v>0.55000000000000004</v>
      </c>
      <c r="F30" s="133"/>
      <c r="G30" s="133"/>
      <c r="H30" s="122"/>
      <c r="I30" s="111"/>
      <c r="J30" s="149" t="s">
        <v>42</v>
      </c>
      <c r="K30" s="65">
        <f>$M$8/(Inputs!$C$53+Engine!$B$21)-Inputs!$C$47</f>
        <v>-5.3954365390545544E-3</v>
      </c>
      <c r="L30" s="133"/>
      <c r="M30" s="133"/>
      <c r="N30" s="122"/>
      <c r="O30" s="111"/>
      <c r="P30" s="111"/>
      <c r="Q30" s="111"/>
      <c r="R30" s="111"/>
      <c r="S30" s="111"/>
      <c r="T30" s="111"/>
      <c r="U30" s="111"/>
      <c r="V30" s="111"/>
      <c r="W30" s="111"/>
      <c r="X30" s="111"/>
      <c r="Y30" s="111"/>
    </row>
    <row r="31" spans="1:25" ht="42" customHeight="1" x14ac:dyDescent="0.25">
      <c r="A31" s="149" t="s">
        <v>482</v>
      </c>
      <c r="B31" s="153">
        <f>Engine!$B$22</f>
        <v>1856987.144567207</v>
      </c>
      <c r="C31" s="133"/>
      <c r="D31" s="150" t="s">
        <v>483</v>
      </c>
      <c r="E31" s="64">
        <f>IFERROR(Engine!$B$22/Inputs!$C$23,0)</f>
        <v>0.48233432326420961</v>
      </c>
      <c r="F31" s="133"/>
      <c r="G31" s="133"/>
      <c r="H31" s="122"/>
      <c r="I31" s="111"/>
      <c r="J31" s="149" t="s">
        <v>44</v>
      </c>
      <c r="K31" s="154" t="str">
        <f>IF(Waterfall!$F$17&gt;=Waterfall!$F$21,"Yes, in full",IF(Waterfall!$F$22&gt;0,"Partly","No"))</f>
        <v>Yes, in full</v>
      </c>
      <c r="L31" s="154"/>
      <c r="M31" s="154"/>
      <c r="N31" s="155"/>
      <c r="O31" s="111"/>
      <c r="P31" s="111"/>
      <c r="Q31" s="111"/>
      <c r="R31" s="111"/>
      <c r="S31" s="111"/>
      <c r="T31" s="111"/>
      <c r="U31" s="111"/>
      <c r="V31" s="111"/>
      <c r="W31" s="111"/>
      <c r="X31" s="111"/>
      <c r="Y31" s="111"/>
    </row>
    <row r="32" spans="1:25" ht="30" customHeight="1" x14ac:dyDescent="0.25">
      <c r="A32" s="149" t="s">
        <v>35</v>
      </c>
      <c r="B32" s="66">
        <f>$M$8/(Inputs!$C$53+Engine!$B$21)</f>
        <v>0.19460456346094546</v>
      </c>
      <c r="C32" s="133"/>
      <c r="D32" s="150" t="s">
        <v>356</v>
      </c>
      <c r="E32" s="65">
        <f>$M$8/Inputs!$C$23</f>
        <v>0.15964485489592004</v>
      </c>
      <c r="F32" s="133"/>
      <c r="G32" s="133"/>
      <c r="H32" s="122"/>
      <c r="I32" s="111"/>
      <c r="J32" s="149" t="s">
        <v>485</v>
      </c>
      <c r="K32" s="154" t="str">
        <f>IF(Waterfall!$F$26&gt;0,"Yes","No")</f>
        <v>Yes</v>
      </c>
      <c r="L32" s="154"/>
      <c r="M32" s="154"/>
      <c r="N32" s="155"/>
      <c r="O32" s="111"/>
      <c r="P32" s="111"/>
      <c r="Q32" s="111"/>
      <c r="R32" s="111"/>
      <c r="S32" s="111"/>
      <c r="T32" s="111"/>
      <c r="U32" s="111"/>
      <c r="V32" s="111"/>
      <c r="W32" s="111"/>
      <c r="X32" s="111"/>
      <c r="Y32" s="111"/>
    </row>
    <row r="33" spans="1:25" x14ac:dyDescent="0.25">
      <c r="A33" s="149" t="s">
        <v>357</v>
      </c>
      <c r="B33" s="64">
        <f>IFERROR(Engine!$B$21/Inputs!$C$23,0)</f>
        <v>6.8747093156028061E-2</v>
      </c>
      <c r="C33" s="133"/>
      <c r="D33" s="150" t="s">
        <v>358</v>
      </c>
      <c r="E33" s="242">
        <f>IFERROR($M$8/Engine!$B$21,"n/a")</f>
        <v>2.3222051663128629</v>
      </c>
      <c r="F33" s="133"/>
      <c r="G33" s="133"/>
      <c r="H33" s="122"/>
      <c r="I33" s="111"/>
      <c r="J33" s="149" t="s">
        <v>486</v>
      </c>
      <c r="K33" s="161">
        <f>Waterfall!$F$26</f>
        <v>393781.42843834101</v>
      </c>
      <c r="L33" s="133"/>
      <c r="M33" s="133"/>
      <c r="N33" s="122"/>
      <c r="O33" s="111"/>
      <c r="P33" s="111"/>
      <c r="Q33" s="111"/>
      <c r="R33" s="111"/>
      <c r="S33" s="111"/>
      <c r="T33" s="111"/>
      <c r="U33" s="111"/>
      <c r="V33" s="111"/>
      <c r="W33" s="111"/>
      <c r="X33" s="111"/>
      <c r="Y33" s="111"/>
    </row>
    <row r="34" spans="1:25" x14ac:dyDescent="0.25">
      <c r="A34" s="146" t="s">
        <v>528</v>
      </c>
      <c r="B34" s="147"/>
      <c r="C34" s="147"/>
      <c r="D34" s="147"/>
      <c r="E34" s="147"/>
      <c r="F34" s="147"/>
      <c r="G34" s="147"/>
      <c r="H34" s="147"/>
      <c r="I34" s="147"/>
      <c r="J34" s="147"/>
      <c r="K34" s="147"/>
      <c r="L34" s="147"/>
      <c r="M34" s="147"/>
      <c r="N34" s="148"/>
      <c r="O34" s="111"/>
      <c r="P34" s="111"/>
      <c r="Q34" s="111"/>
      <c r="R34" s="111"/>
      <c r="S34" s="111"/>
      <c r="T34" s="111"/>
      <c r="U34" s="111"/>
      <c r="V34" s="111"/>
      <c r="W34" s="111"/>
      <c r="X34" s="111"/>
      <c r="Y34" s="111"/>
    </row>
    <row r="35" spans="1:25" x14ac:dyDescent="0.25">
      <c r="A35" s="239" t="s">
        <v>529</v>
      </c>
      <c r="B35" s="240">
        <f>Inputs!$C$25/(1+Inputs!$C$47)-Engine!$B$21-(Inputs!$C$53-Inputs!$C$30)</f>
        <v>510799.35801595915</v>
      </c>
      <c r="C35" s="133"/>
      <c r="D35" s="233" t="s">
        <v>530</v>
      </c>
      <c r="E35" s="161">
        <f>Inputs!$C$30</f>
        <v>525000</v>
      </c>
      <c r="F35" s="133"/>
      <c r="G35" s="150" t="s">
        <v>531</v>
      </c>
      <c r="H35" s="240">
        <f>B35-E35</f>
        <v>-14200.641984040849</v>
      </c>
      <c r="I35" s="133"/>
      <c r="J35" s="233" t="s">
        <v>532</v>
      </c>
      <c r="K35" s="241" t="str">
        <f>IFERROR(B35/Inputs!$C$75,"–")</f>
        <v>–</v>
      </c>
      <c r="L35" s="133"/>
      <c r="M35" s="133"/>
      <c r="N35" s="122"/>
      <c r="O35" s="111"/>
      <c r="P35" s="111"/>
      <c r="Q35" s="111"/>
      <c r="R35" s="111"/>
      <c r="S35" s="111"/>
      <c r="T35" s="111"/>
      <c r="U35" s="111"/>
      <c r="V35" s="111"/>
      <c r="W35" s="111"/>
      <c r="X35" s="111"/>
      <c r="Y35" s="111"/>
    </row>
    <row r="36" spans="1:25" x14ac:dyDescent="0.25">
      <c r="A36" s="243" t="s">
        <v>533</v>
      </c>
      <c r="B36" s="244"/>
      <c r="C36" s="244"/>
      <c r="D36" s="244"/>
      <c r="E36" s="244"/>
      <c r="F36" s="244"/>
      <c r="G36" s="244"/>
      <c r="H36" s="244"/>
      <c r="I36" s="244"/>
      <c r="J36" s="244"/>
      <c r="K36" s="244"/>
      <c r="L36" s="244"/>
      <c r="M36" s="244"/>
      <c r="N36" s="245"/>
      <c r="O36" s="111"/>
      <c r="P36" s="111"/>
      <c r="Q36" s="111"/>
      <c r="R36" s="111"/>
      <c r="S36" s="111"/>
      <c r="T36" s="111"/>
      <c r="U36" s="111"/>
      <c r="V36" s="111"/>
      <c r="W36" s="111"/>
      <c r="X36" s="111"/>
      <c r="Y36" s="111"/>
    </row>
    <row r="37" spans="1:25" x14ac:dyDescent="0.25">
      <c r="A37" s="156" t="s">
        <v>487</v>
      </c>
      <c r="B37" s="156"/>
      <c r="C37" s="156"/>
      <c r="D37" s="156"/>
      <c r="E37" s="156"/>
      <c r="F37" s="156"/>
      <c r="G37" s="156"/>
      <c r="H37" s="156"/>
      <c r="I37" s="156"/>
      <c r="J37" s="156"/>
      <c r="K37" s="156"/>
      <c r="L37" s="156"/>
      <c r="M37" s="156"/>
      <c r="N37" s="156"/>
      <c r="O37" s="111"/>
      <c r="P37" s="111"/>
      <c r="Q37" s="111"/>
      <c r="R37" s="111"/>
      <c r="S37" s="111"/>
      <c r="T37" s="111"/>
      <c r="U37" s="111"/>
      <c r="V37" s="111"/>
      <c r="W37" s="111"/>
      <c r="X37" s="111"/>
      <c r="Y37" s="111"/>
    </row>
    <row r="38" spans="1:25" x14ac:dyDescent="0.25">
      <c r="A38" s="157" t="s">
        <v>266</v>
      </c>
      <c r="B38" s="158" t="s">
        <v>488</v>
      </c>
      <c r="C38" s="159"/>
      <c r="D38" s="158" t="s">
        <v>468</v>
      </c>
      <c r="E38" s="158" t="s">
        <v>267</v>
      </c>
      <c r="F38" s="158" t="s">
        <v>489</v>
      </c>
      <c r="G38" s="158" t="s">
        <v>268</v>
      </c>
      <c r="H38" s="159"/>
      <c r="I38" s="159"/>
      <c r="J38" s="159"/>
      <c r="K38" s="159"/>
      <c r="L38" s="159"/>
      <c r="M38" s="159"/>
      <c r="N38" s="160"/>
      <c r="O38" s="111"/>
      <c r="P38" s="111"/>
      <c r="Q38" s="111"/>
      <c r="R38" s="111"/>
      <c r="S38" s="111"/>
      <c r="T38" s="111"/>
      <c r="U38" s="111"/>
      <c r="V38" s="111"/>
      <c r="W38" s="111"/>
      <c r="X38" s="111"/>
      <c r="Y38" s="111"/>
    </row>
    <row r="39" spans="1:25" x14ac:dyDescent="0.25">
      <c r="A39" s="149" t="s">
        <v>48</v>
      </c>
      <c r="B39" s="161">
        <f>Comparison!$C$33</f>
        <v>2842941</v>
      </c>
      <c r="C39" s="133"/>
      <c r="D39" s="161">
        <f>Comparison!$C$35</f>
        <v>930059</v>
      </c>
      <c r="E39" s="67">
        <f>Comparison!$C$36</f>
        <v>1.3271467821527074</v>
      </c>
      <c r="F39" s="64">
        <f>Comparison!$C$32</f>
        <v>0.32714678215270737</v>
      </c>
      <c r="G39" s="162" t="s">
        <v>490</v>
      </c>
      <c r="H39" s="162"/>
      <c r="I39" s="162"/>
      <c r="J39" s="162"/>
      <c r="K39" s="162"/>
      <c r="L39" s="162"/>
      <c r="M39" s="162"/>
      <c r="N39" s="163"/>
      <c r="O39" s="111"/>
      <c r="P39" s="111"/>
      <c r="Q39" s="111"/>
      <c r="R39" s="111"/>
      <c r="S39" s="111"/>
      <c r="T39" s="111"/>
      <c r="U39" s="111"/>
      <c r="V39" s="111"/>
      <c r="W39" s="111"/>
      <c r="X39" s="111"/>
      <c r="Y39" s="111"/>
    </row>
    <row r="40" spans="1:25" x14ac:dyDescent="0.25">
      <c r="A40" s="149" t="s">
        <v>49</v>
      </c>
      <c r="B40" s="161">
        <f>Comparison!$D$33</f>
        <v>1390908.8842499999</v>
      </c>
      <c r="C40" s="133"/>
      <c r="D40" s="161">
        <f>Comparison!$D$35</f>
        <v>676326.51575000025</v>
      </c>
      <c r="E40" s="67">
        <f>Comparison!$D$36</f>
        <v>1.4862478940269954</v>
      </c>
      <c r="F40" s="64">
        <f>Comparison!$D$32</f>
        <v>0.21840420670434471</v>
      </c>
      <c r="G40" s="162" t="s">
        <v>491</v>
      </c>
      <c r="H40" s="162"/>
      <c r="I40" s="162"/>
      <c r="J40" s="162"/>
      <c r="K40" s="162"/>
      <c r="L40" s="162"/>
      <c r="M40" s="162"/>
      <c r="N40" s="163"/>
      <c r="O40" s="111"/>
      <c r="P40" s="111"/>
      <c r="Q40" s="111"/>
      <c r="R40" s="111"/>
      <c r="S40" s="111"/>
      <c r="T40" s="111"/>
      <c r="U40" s="111"/>
      <c r="V40" s="111"/>
      <c r="W40" s="111"/>
      <c r="X40" s="111"/>
      <c r="Y40" s="111"/>
    </row>
    <row r="41" spans="1:25" x14ac:dyDescent="0.25">
      <c r="A41" s="149" t="s">
        <v>492</v>
      </c>
      <c r="B41" s="161">
        <f>Comparison!$E$33</f>
        <v>916137.73724999977</v>
      </c>
      <c r="C41" s="133"/>
      <c r="D41" s="161">
        <f>Comparison!$E$35</f>
        <v>582509.46274999995</v>
      </c>
      <c r="E41" s="67">
        <f>Comparison!$E$36</f>
        <v>1.6358317522194179</v>
      </c>
      <c r="F41" s="64">
        <f>Comparison!$E$32</f>
        <v>0.1825767718001402</v>
      </c>
      <c r="G41" s="162" t="s">
        <v>493</v>
      </c>
      <c r="H41" s="162"/>
      <c r="I41" s="162"/>
      <c r="J41" s="162"/>
      <c r="K41" s="162"/>
      <c r="L41" s="162"/>
      <c r="M41" s="162"/>
      <c r="N41" s="163"/>
      <c r="O41" s="111"/>
      <c r="P41" s="111"/>
      <c r="Q41" s="111"/>
      <c r="R41" s="111"/>
      <c r="S41" s="111"/>
      <c r="T41" s="111"/>
      <c r="U41" s="111"/>
      <c r="V41" s="111"/>
      <c r="W41" s="111"/>
      <c r="X41" s="111"/>
      <c r="Y41" s="111"/>
    </row>
    <row r="42" spans="1:25" x14ac:dyDescent="0.25">
      <c r="A42" s="164" t="s">
        <v>494</v>
      </c>
      <c r="B42" s="165">
        <f>Comparison!$F$33</f>
        <v>219530.12209134857</v>
      </c>
      <c r="C42" s="133"/>
      <c r="D42" s="165">
        <f>Comparison!$F$35</f>
        <v>332161.91126460239</v>
      </c>
      <c r="E42" s="68">
        <f>Comparison!$F$36</f>
        <v>2.5130584727975811</v>
      </c>
      <c r="F42" s="69">
        <f>Comparison!$F$32</f>
        <v>0.19460456346094546</v>
      </c>
      <c r="G42" s="166" t="s">
        <v>495</v>
      </c>
      <c r="H42" s="166"/>
      <c r="I42" s="166"/>
      <c r="J42" s="166"/>
      <c r="K42" s="166"/>
      <c r="L42" s="166"/>
      <c r="M42" s="166"/>
      <c r="N42" s="167"/>
      <c r="O42" s="111"/>
      <c r="P42" s="111"/>
      <c r="Q42" s="111"/>
      <c r="R42" s="111"/>
      <c r="S42" s="111"/>
      <c r="T42" s="111"/>
      <c r="U42" s="111"/>
      <c r="V42" s="111"/>
      <c r="W42" s="111"/>
      <c r="X42" s="111"/>
      <c r="Y42" s="111"/>
    </row>
    <row r="43" spans="1:25" x14ac:dyDescent="0.25">
      <c r="A43" s="149" t="s">
        <v>183</v>
      </c>
      <c r="B43" s="161">
        <f>Comparison!$G$33</f>
        <v>1339783.3854999999</v>
      </c>
      <c r="C43" s="133"/>
      <c r="D43" s="161">
        <f>Comparison!$G$35</f>
        <v>864371.51450000005</v>
      </c>
      <c r="E43" s="67">
        <f>Comparison!$G$36</f>
        <v>1.645157660450776</v>
      </c>
      <c r="F43" s="64">
        <f>Comparison!$G$32</f>
        <v>0.29717494647702064</v>
      </c>
      <c r="G43" s="162" t="s">
        <v>496</v>
      </c>
      <c r="H43" s="162"/>
      <c r="I43" s="162"/>
      <c r="J43" s="162"/>
      <c r="K43" s="162"/>
      <c r="L43" s="162"/>
      <c r="M43" s="162"/>
      <c r="N43" s="163"/>
      <c r="O43" s="111"/>
      <c r="P43" s="111"/>
      <c r="Q43" s="111"/>
      <c r="R43" s="111"/>
      <c r="S43" s="111"/>
      <c r="T43" s="111"/>
      <c r="U43" s="111"/>
      <c r="V43" s="111"/>
      <c r="W43" s="111"/>
      <c r="X43" s="111"/>
      <c r="Y43" s="111"/>
    </row>
    <row r="44" spans="1:25" x14ac:dyDescent="0.25">
      <c r="A44" s="168" t="s">
        <v>497</v>
      </c>
      <c r="B44" s="145"/>
      <c r="C44" s="145"/>
      <c r="D44" s="145"/>
      <c r="E44" s="145"/>
      <c r="F44" s="145"/>
      <c r="G44" s="145"/>
      <c r="H44" s="145"/>
      <c r="I44" s="145"/>
      <c r="J44" s="145"/>
      <c r="K44" s="145"/>
      <c r="L44" s="145"/>
      <c r="M44" s="145"/>
      <c r="N44" s="142"/>
      <c r="O44" s="111"/>
      <c r="P44" s="111"/>
      <c r="Q44" s="111"/>
      <c r="R44" s="111"/>
      <c r="S44" s="111"/>
      <c r="T44" s="111"/>
      <c r="U44" s="111"/>
      <c r="V44" s="111"/>
      <c r="W44" s="111"/>
      <c r="X44" s="111"/>
      <c r="Y44" s="111"/>
    </row>
    <row r="45" spans="1:25" x14ac:dyDescent="0.25">
      <c r="A45" s="38"/>
      <c r="B45" s="38"/>
      <c r="C45" s="38"/>
      <c r="D45" s="38"/>
      <c r="E45" s="38"/>
      <c r="F45" s="38"/>
      <c r="G45" s="38"/>
      <c r="H45" s="38"/>
      <c r="I45" s="38"/>
      <c r="J45" s="38"/>
      <c r="K45" s="38"/>
      <c r="L45" s="38"/>
      <c r="M45" s="38"/>
      <c r="N45" s="38"/>
      <c r="O45" s="38"/>
      <c r="P45" s="38"/>
      <c r="Q45" s="38"/>
      <c r="R45" s="38"/>
      <c r="S45" s="38"/>
      <c r="T45" s="38"/>
      <c r="U45" s="38"/>
      <c r="V45" s="38"/>
      <c r="W45" s="38"/>
      <c r="X45" s="38"/>
      <c r="Y45" s="38"/>
    </row>
    <row r="46" spans="1:25" x14ac:dyDescent="0.25">
      <c r="A46" s="38"/>
      <c r="B46" s="38"/>
      <c r="C46" s="38"/>
      <c r="D46" s="38"/>
      <c r="E46" s="38"/>
      <c r="F46" s="38"/>
      <c r="G46" s="38"/>
      <c r="H46" s="38"/>
      <c r="I46" s="38"/>
      <c r="J46" s="38"/>
      <c r="K46" s="38"/>
      <c r="L46" s="38"/>
      <c r="M46" s="38"/>
      <c r="N46" s="38"/>
      <c r="O46" s="38"/>
      <c r="P46" s="38"/>
      <c r="Q46" s="38"/>
      <c r="R46" s="38"/>
      <c r="S46" s="38"/>
      <c r="T46" s="38"/>
      <c r="U46" s="38"/>
      <c r="V46" s="38"/>
      <c r="W46" s="38"/>
      <c r="X46" s="38"/>
      <c r="Y46" s="38"/>
    </row>
    <row r="47" spans="1:25" x14ac:dyDescent="0.25">
      <c r="A47" s="38"/>
      <c r="B47" s="38"/>
      <c r="C47" s="38"/>
      <c r="D47" s="38"/>
      <c r="E47" s="38"/>
      <c r="F47" s="38"/>
      <c r="G47" s="38"/>
      <c r="H47" s="38"/>
      <c r="I47" s="38"/>
      <c r="J47" s="38"/>
      <c r="K47" s="38"/>
      <c r="L47" s="38"/>
      <c r="M47" s="38"/>
      <c r="N47" s="38"/>
      <c r="O47" s="38"/>
      <c r="P47" s="38"/>
      <c r="Q47" s="38"/>
      <c r="R47" s="38"/>
      <c r="S47" s="38"/>
      <c r="T47" s="38"/>
      <c r="U47" s="38"/>
      <c r="V47" s="38"/>
      <c r="W47" s="38"/>
      <c r="X47" s="38"/>
      <c r="Y47" s="38"/>
    </row>
    <row r="48" spans="1:25" x14ac:dyDescent="0.25">
      <c r="A48" s="38"/>
      <c r="B48" s="38"/>
      <c r="C48" s="38"/>
      <c r="D48" s="38"/>
      <c r="E48" s="38"/>
      <c r="F48" s="38"/>
      <c r="G48" s="38"/>
      <c r="H48" s="38"/>
      <c r="I48" s="38"/>
      <c r="J48" s="38"/>
      <c r="K48" s="38"/>
      <c r="L48" s="38"/>
      <c r="M48" s="38"/>
      <c r="N48" s="38"/>
      <c r="O48" s="38"/>
      <c r="P48" s="38"/>
      <c r="Q48" s="38"/>
      <c r="R48" s="38"/>
      <c r="S48" s="38"/>
      <c r="T48" s="38"/>
      <c r="U48" s="38"/>
      <c r="V48" s="38"/>
      <c r="W48" s="38"/>
      <c r="X48" s="38"/>
      <c r="Y48" s="38"/>
    </row>
    <row r="49" spans="1:25" x14ac:dyDescent="0.25">
      <c r="A49" s="38"/>
      <c r="B49" s="38"/>
      <c r="C49" s="38"/>
      <c r="D49" s="38"/>
      <c r="E49" s="38"/>
      <c r="F49" s="38"/>
      <c r="G49" s="38"/>
      <c r="H49" s="38"/>
      <c r="I49" s="38"/>
      <c r="J49" s="38"/>
      <c r="K49" s="38"/>
      <c r="L49" s="38"/>
      <c r="M49" s="38"/>
      <c r="N49" s="38"/>
      <c r="O49" s="38"/>
      <c r="P49" s="38"/>
      <c r="Q49" s="38"/>
      <c r="R49" s="38"/>
      <c r="S49" s="38"/>
      <c r="T49" s="38"/>
      <c r="U49" s="38"/>
      <c r="V49" s="38"/>
      <c r="W49" s="38"/>
      <c r="X49" s="38"/>
      <c r="Y49" s="38"/>
    </row>
    <row r="50" spans="1:25" ht="15" customHeight="1" x14ac:dyDescent="0.25">
      <c r="A50" s="38"/>
      <c r="B50" s="38"/>
      <c r="C50" s="38"/>
      <c r="D50" s="38"/>
      <c r="E50" s="38"/>
      <c r="F50" s="38"/>
      <c r="G50" s="38"/>
      <c r="H50" s="38"/>
      <c r="I50" s="38"/>
      <c r="J50" s="38"/>
      <c r="K50" s="38"/>
      <c r="L50" s="38"/>
      <c r="M50" s="38"/>
      <c r="N50" s="38"/>
      <c r="O50" s="38"/>
      <c r="P50" s="38"/>
      <c r="Q50" s="38"/>
      <c r="R50" s="38"/>
      <c r="S50" s="38"/>
      <c r="T50" s="38"/>
      <c r="U50" s="38"/>
      <c r="V50" s="38"/>
      <c r="W50" s="38"/>
      <c r="X50" s="38"/>
      <c r="Y50" s="38"/>
    </row>
    <row r="51" spans="1:25" ht="25.5" customHeight="1" x14ac:dyDescent="0.25">
      <c r="A51" s="38"/>
      <c r="B51" s="38"/>
      <c r="C51" s="38"/>
      <c r="D51" s="38"/>
      <c r="E51" s="38"/>
      <c r="F51" s="38"/>
      <c r="G51" s="38"/>
      <c r="H51" s="38"/>
      <c r="I51" s="38"/>
      <c r="J51" s="38"/>
      <c r="K51" s="38"/>
      <c r="L51" s="38"/>
      <c r="M51" s="38"/>
      <c r="N51" s="38"/>
      <c r="O51" s="38"/>
      <c r="P51" s="38"/>
      <c r="Q51" s="38"/>
      <c r="R51" s="38"/>
      <c r="S51" s="38"/>
      <c r="T51" s="38"/>
      <c r="U51" s="38"/>
      <c r="V51" s="38"/>
      <c r="W51" s="38"/>
      <c r="X51" s="38"/>
      <c r="Y51" s="38"/>
    </row>
    <row r="52" spans="1:25" ht="25.5" customHeight="1" x14ac:dyDescent="0.25">
      <c r="A52" s="38"/>
      <c r="B52" s="38"/>
      <c r="C52" s="38"/>
      <c r="D52" s="38"/>
      <c r="E52" s="38"/>
      <c r="F52" s="38"/>
      <c r="G52" s="38"/>
      <c r="H52" s="38"/>
      <c r="I52" s="38"/>
      <c r="J52" s="38"/>
      <c r="K52" s="38"/>
      <c r="L52" s="38"/>
      <c r="M52" s="38"/>
      <c r="N52" s="38"/>
      <c r="O52" s="38"/>
      <c r="P52" s="38"/>
      <c r="Q52" s="38"/>
      <c r="R52" s="38"/>
      <c r="S52" s="38"/>
      <c r="T52" s="38"/>
      <c r="U52" s="38"/>
      <c r="V52" s="38"/>
      <c r="W52" s="38"/>
      <c r="X52" s="38"/>
      <c r="Y52" s="38"/>
    </row>
    <row r="53" spans="1:25" ht="25.5" customHeight="1" x14ac:dyDescent="0.25">
      <c r="A53" s="38"/>
      <c r="B53" s="38"/>
      <c r="C53" s="38"/>
      <c r="D53" s="38"/>
      <c r="E53" s="38"/>
      <c r="F53" s="38"/>
      <c r="G53" s="38"/>
      <c r="H53" s="38"/>
      <c r="I53" s="38"/>
      <c r="J53" s="38"/>
      <c r="K53" s="38"/>
      <c r="L53" s="38"/>
      <c r="M53" s="38"/>
      <c r="N53" s="38"/>
      <c r="O53" s="38"/>
      <c r="P53" s="38"/>
      <c r="Q53" s="38"/>
      <c r="R53" s="38"/>
      <c r="S53" s="38"/>
      <c r="T53" s="38"/>
      <c r="U53" s="38"/>
      <c r="V53" s="38"/>
      <c r="W53" s="38"/>
      <c r="X53" s="38"/>
      <c r="Y53" s="38"/>
    </row>
    <row r="54" spans="1:25" ht="25.5" customHeight="1" x14ac:dyDescent="0.25">
      <c r="A54" s="38"/>
      <c r="B54" s="38"/>
      <c r="C54" s="38"/>
      <c r="D54" s="38"/>
      <c r="E54" s="38"/>
      <c r="F54" s="38"/>
      <c r="G54" s="38"/>
      <c r="H54" s="38"/>
      <c r="I54" s="38"/>
      <c r="J54" s="38"/>
      <c r="K54" s="38"/>
      <c r="L54" s="38"/>
      <c r="M54" s="38"/>
      <c r="N54" s="38"/>
      <c r="O54" s="38"/>
      <c r="P54" s="38"/>
      <c r="Q54" s="38"/>
      <c r="R54" s="38"/>
      <c r="S54" s="38"/>
      <c r="T54" s="38"/>
      <c r="U54" s="38"/>
      <c r="V54" s="38"/>
      <c r="W54" s="38"/>
      <c r="X54" s="38"/>
      <c r="Y54" s="38"/>
    </row>
    <row r="55" spans="1:25" ht="15" customHeight="1" x14ac:dyDescent="0.25">
      <c r="A55" s="38"/>
      <c r="B55" s="38"/>
      <c r="C55" s="38"/>
      <c r="D55" s="38"/>
      <c r="E55" s="38"/>
      <c r="F55" s="38"/>
      <c r="G55" s="38"/>
      <c r="H55" s="38"/>
      <c r="I55" s="38"/>
      <c r="J55" s="38"/>
      <c r="K55" s="38"/>
      <c r="L55" s="38"/>
      <c r="M55" s="38"/>
      <c r="N55" s="38"/>
      <c r="O55" s="38"/>
      <c r="P55" s="38"/>
      <c r="Q55" s="38"/>
      <c r="R55" s="38"/>
      <c r="S55" s="38"/>
      <c r="T55" s="38"/>
      <c r="U55" s="38"/>
      <c r="V55" s="38"/>
      <c r="W55" s="38"/>
      <c r="X55" s="38"/>
      <c r="Y55" s="38"/>
    </row>
    <row r="56" spans="1:25" x14ac:dyDescent="0.25">
      <c r="A56" s="38"/>
      <c r="B56" s="38"/>
      <c r="C56" s="38"/>
      <c r="D56" s="38"/>
      <c r="E56" s="38"/>
      <c r="F56" s="38"/>
      <c r="G56" s="38"/>
      <c r="H56" s="38"/>
      <c r="I56" s="38"/>
      <c r="J56" s="38"/>
      <c r="K56" s="38"/>
      <c r="L56" s="38"/>
      <c r="M56" s="38"/>
      <c r="N56" s="38"/>
      <c r="O56" s="38"/>
      <c r="P56" s="38"/>
      <c r="Q56" s="38"/>
      <c r="R56" s="38"/>
      <c r="S56" s="38"/>
      <c r="T56" s="38"/>
      <c r="U56" s="38"/>
      <c r="V56" s="38"/>
      <c r="W56" s="38"/>
      <c r="X56" s="38"/>
      <c r="Y56" s="38"/>
    </row>
    <row r="57" spans="1:25" x14ac:dyDescent="0.25">
      <c r="A57" s="38"/>
      <c r="B57" s="38"/>
      <c r="C57" s="38"/>
      <c r="D57" s="38"/>
      <c r="E57" s="38"/>
      <c r="F57" s="38"/>
      <c r="G57" s="38"/>
      <c r="H57" s="38"/>
      <c r="I57" s="38"/>
      <c r="J57" s="38"/>
      <c r="K57" s="38"/>
      <c r="L57" s="38"/>
      <c r="M57" s="38"/>
      <c r="N57" s="38"/>
      <c r="O57" s="38"/>
      <c r="P57" s="38"/>
      <c r="Q57" s="38"/>
      <c r="R57" s="38"/>
      <c r="S57" s="38"/>
      <c r="T57" s="38"/>
      <c r="U57" s="38"/>
      <c r="V57" s="38"/>
      <c r="W57" s="38"/>
      <c r="X57" s="38"/>
      <c r="Y57" s="38"/>
    </row>
    <row r="58" spans="1:25" x14ac:dyDescent="0.25">
      <c r="A58" s="38"/>
      <c r="B58" s="38"/>
      <c r="C58" s="38"/>
      <c r="D58" s="38"/>
      <c r="E58" s="38"/>
      <c r="F58" s="38"/>
      <c r="G58" s="38"/>
      <c r="H58" s="38"/>
      <c r="I58" s="38"/>
      <c r="J58" s="38"/>
      <c r="K58" s="38"/>
      <c r="L58" s="38"/>
      <c r="M58" s="38"/>
      <c r="N58" s="38"/>
      <c r="O58" s="38"/>
      <c r="P58" s="38"/>
      <c r="Q58" s="38"/>
      <c r="R58" s="38"/>
      <c r="S58" s="38"/>
      <c r="T58" s="38"/>
      <c r="U58" s="38"/>
      <c r="V58" s="38"/>
      <c r="W58" s="38"/>
      <c r="X58" s="38"/>
      <c r="Y58" s="38"/>
    </row>
    <row r="59" spans="1:25" x14ac:dyDescent="0.25">
      <c r="A59" s="38"/>
      <c r="B59" s="38"/>
      <c r="C59" s="38"/>
      <c r="D59" s="38"/>
      <c r="E59" s="38"/>
      <c r="F59" s="38"/>
      <c r="G59" s="38"/>
      <c r="H59" s="38"/>
      <c r="I59" s="38"/>
      <c r="J59" s="38"/>
      <c r="K59" s="38"/>
      <c r="L59" s="38"/>
      <c r="M59" s="38"/>
      <c r="N59" s="38"/>
      <c r="O59" s="38"/>
      <c r="P59" s="38"/>
      <c r="Q59" s="38"/>
      <c r="R59" s="38"/>
      <c r="S59" s="38"/>
      <c r="T59" s="38"/>
      <c r="U59" s="38"/>
      <c r="V59" s="38"/>
      <c r="W59" s="38"/>
      <c r="X59" s="38"/>
      <c r="Y59" s="38"/>
    </row>
    <row r="60" spans="1:25" x14ac:dyDescent="0.25">
      <c r="A60" s="38"/>
      <c r="B60" s="38"/>
      <c r="C60" s="38"/>
      <c r="D60" s="38"/>
      <c r="E60" s="38"/>
      <c r="F60" s="38"/>
      <c r="G60" s="38"/>
      <c r="H60" s="38"/>
      <c r="I60" s="38"/>
      <c r="J60" s="38"/>
      <c r="K60" s="38"/>
      <c r="L60" s="38"/>
      <c r="M60" s="38"/>
      <c r="N60" s="38"/>
      <c r="O60" s="38"/>
      <c r="P60" s="38"/>
      <c r="Q60" s="38"/>
      <c r="R60" s="38"/>
      <c r="S60" s="38"/>
      <c r="T60" s="38"/>
      <c r="U60" s="38"/>
      <c r="V60" s="38"/>
      <c r="W60" s="38"/>
      <c r="X60" s="38"/>
      <c r="Y60" s="38"/>
    </row>
    <row r="61" spans="1:25" x14ac:dyDescent="0.25">
      <c r="A61" s="38"/>
      <c r="B61" s="38"/>
      <c r="C61" s="38"/>
      <c r="D61" s="38"/>
      <c r="E61" s="38"/>
      <c r="F61" s="38"/>
      <c r="G61" s="38"/>
      <c r="H61" s="38"/>
      <c r="I61" s="38"/>
      <c r="J61" s="38"/>
      <c r="K61" s="38"/>
      <c r="L61" s="38"/>
      <c r="M61" s="38"/>
      <c r="N61" s="38"/>
      <c r="O61" s="38"/>
      <c r="P61" s="38"/>
      <c r="Q61" s="38"/>
      <c r="R61" s="38"/>
      <c r="S61" s="38"/>
      <c r="T61" s="38"/>
      <c r="U61" s="38"/>
      <c r="V61" s="38"/>
      <c r="W61" s="38"/>
      <c r="X61" s="38"/>
      <c r="Y61" s="38"/>
    </row>
    <row r="62" spans="1:25" x14ac:dyDescent="0.25">
      <c r="A62" s="38"/>
      <c r="B62" s="38"/>
      <c r="C62" s="38"/>
      <c r="D62" s="38"/>
      <c r="E62" s="38"/>
      <c r="F62" s="38"/>
      <c r="G62" s="38"/>
      <c r="H62" s="38"/>
      <c r="I62" s="38"/>
      <c r="J62" s="38"/>
      <c r="K62" s="38"/>
      <c r="L62" s="38"/>
      <c r="M62" s="38"/>
      <c r="N62" s="38"/>
      <c r="O62" s="38"/>
      <c r="P62" s="38"/>
      <c r="Q62" s="38"/>
      <c r="R62" s="38"/>
      <c r="S62" s="38"/>
      <c r="T62" s="38"/>
      <c r="U62" s="38"/>
      <c r="V62" s="38"/>
      <c r="W62" s="38"/>
      <c r="X62" s="38"/>
      <c r="Y62" s="38"/>
    </row>
    <row r="63" spans="1:25" x14ac:dyDescent="0.25">
      <c r="A63" s="38"/>
      <c r="B63" s="38"/>
      <c r="C63" s="38"/>
      <c r="D63" s="38"/>
      <c r="E63" s="38"/>
      <c r="F63" s="38"/>
      <c r="G63" s="38"/>
      <c r="H63" s="38"/>
      <c r="I63" s="38"/>
      <c r="J63" s="38"/>
      <c r="K63" s="38"/>
      <c r="L63" s="38"/>
      <c r="M63" s="38"/>
      <c r="N63" s="38"/>
      <c r="O63" s="38"/>
      <c r="P63" s="38"/>
      <c r="Q63" s="38"/>
      <c r="R63" s="38"/>
      <c r="S63" s="38"/>
      <c r="T63" s="38"/>
      <c r="U63" s="38"/>
      <c r="V63" s="38"/>
      <c r="W63" s="38"/>
      <c r="X63" s="38"/>
      <c r="Y63" s="38"/>
    </row>
    <row r="64" spans="1:25" x14ac:dyDescent="0.25">
      <c r="A64" s="38"/>
      <c r="B64" s="38"/>
      <c r="C64" s="38"/>
      <c r="D64" s="38"/>
      <c r="E64" s="38"/>
      <c r="F64" s="38"/>
      <c r="G64" s="38"/>
      <c r="H64" s="38"/>
      <c r="I64" s="38"/>
      <c r="J64" s="38"/>
      <c r="K64" s="38"/>
      <c r="L64" s="38"/>
      <c r="M64" s="38"/>
      <c r="N64" s="38"/>
      <c r="O64" s="38"/>
      <c r="P64" s="38"/>
      <c r="Q64" s="38"/>
      <c r="R64" s="38"/>
      <c r="S64" s="38"/>
      <c r="T64" s="38"/>
      <c r="U64" s="38"/>
      <c r="V64" s="38"/>
      <c r="W64" s="38"/>
      <c r="X64" s="38"/>
      <c r="Y64" s="38"/>
    </row>
    <row r="65" spans="1:25" x14ac:dyDescent="0.25">
      <c r="A65" s="38"/>
      <c r="B65" s="38"/>
      <c r="C65" s="38"/>
      <c r="D65" s="38"/>
      <c r="E65" s="38"/>
      <c r="F65" s="38"/>
      <c r="G65" s="38"/>
      <c r="H65" s="38"/>
      <c r="I65" s="38"/>
      <c r="J65" s="38"/>
      <c r="K65" s="38"/>
      <c r="L65" s="38"/>
      <c r="M65" s="38"/>
      <c r="N65" s="38"/>
      <c r="O65" s="38"/>
      <c r="P65" s="38"/>
      <c r="Q65" s="38"/>
      <c r="R65" s="38"/>
      <c r="S65" s="38"/>
      <c r="T65" s="38"/>
      <c r="U65" s="38"/>
      <c r="V65" s="38"/>
      <c r="W65" s="38"/>
      <c r="X65" s="38"/>
      <c r="Y65" s="38"/>
    </row>
    <row r="66" spans="1:25" x14ac:dyDescent="0.25">
      <c r="A66" s="38"/>
      <c r="B66" s="38"/>
      <c r="C66" s="38"/>
      <c r="D66" s="38"/>
      <c r="E66" s="38"/>
      <c r="F66" s="38"/>
      <c r="G66" s="38"/>
      <c r="H66" s="38"/>
      <c r="I66" s="38"/>
      <c r="J66" s="38"/>
      <c r="K66" s="38"/>
      <c r="L66" s="38"/>
      <c r="M66" s="38"/>
      <c r="N66" s="38"/>
      <c r="O66" s="38"/>
      <c r="P66" s="38"/>
      <c r="Q66" s="38"/>
      <c r="R66" s="38"/>
      <c r="S66" s="38"/>
      <c r="T66" s="38"/>
      <c r="U66" s="38"/>
      <c r="V66" s="38"/>
      <c r="W66" s="38"/>
      <c r="X66" s="38"/>
      <c r="Y66" s="38"/>
    </row>
    <row r="67" spans="1:25" x14ac:dyDescent="0.25">
      <c r="A67" s="38"/>
      <c r="B67" s="38"/>
      <c r="C67" s="38"/>
      <c r="D67" s="38"/>
      <c r="E67" s="38"/>
      <c r="F67" s="38"/>
      <c r="G67" s="38"/>
      <c r="H67" s="38"/>
      <c r="I67" s="38"/>
      <c r="J67" s="38"/>
      <c r="K67" s="38"/>
      <c r="L67" s="38"/>
      <c r="M67" s="38"/>
      <c r="N67" s="38"/>
      <c r="O67" s="38"/>
      <c r="P67" s="38"/>
      <c r="Q67" s="38"/>
      <c r="R67" s="38"/>
      <c r="S67" s="38"/>
      <c r="T67" s="38"/>
      <c r="U67" s="38"/>
      <c r="V67" s="38"/>
      <c r="W67" s="38"/>
      <c r="X67" s="38"/>
      <c r="Y67" s="38"/>
    </row>
    <row r="68" spans="1:25" x14ac:dyDescent="0.25">
      <c r="A68" s="38"/>
      <c r="B68" s="38"/>
      <c r="C68" s="38"/>
      <c r="D68" s="38"/>
      <c r="E68" s="38"/>
      <c r="F68" s="38"/>
      <c r="G68" s="38"/>
      <c r="H68" s="38"/>
      <c r="I68" s="38"/>
      <c r="J68" s="38"/>
      <c r="K68" s="38"/>
      <c r="L68" s="38"/>
      <c r="M68" s="38"/>
      <c r="N68" s="38"/>
      <c r="O68" s="38"/>
      <c r="P68" s="38"/>
      <c r="Q68" s="38"/>
      <c r="R68" s="38"/>
      <c r="S68" s="38"/>
      <c r="T68" s="38"/>
      <c r="U68" s="38"/>
      <c r="V68" s="38"/>
      <c r="W68" s="38"/>
      <c r="X68" s="38"/>
      <c r="Y68" s="38"/>
    </row>
    <row r="69" spans="1:25" x14ac:dyDescent="0.25">
      <c r="A69" s="38"/>
      <c r="B69" s="38"/>
      <c r="C69" s="38"/>
      <c r="D69" s="38"/>
      <c r="E69" s="38"/>
      <c r="F69" s="38"/>
      <c r="G69" s="38"/>
      <c r="H69" s="38"/>
      <c r="I69" s="38"/>
      <c r="J69" s="38"/>
      <c r="K69" s="38"/>
      <c r="L69" s="38"/>
      <c r="M69" s="38"/>
      <c r="N69" s="38"/>
      <c r="O69" s="38"/>
      <c r="P69" s="38"/>
      <c r="Q69" s="38"/>
      <c r="R69" s="38"/>
      <c r="S69" s="38"/>
      <c r="T69" s="38"/>
      <c r="U69" s="38"/>
      <c r="V69" s="38"/>
      <c r="W69" s="38"/>
      <c r="X69" s="38"/>
      <c r="Y69" s="38"/>
    </row>
    <row r="70" spans="1:25" x14ac:dyDescent="0.25">
      <c r="A70" s="38"/>
      <c r="B70" s="38"/>
      <c r="C70" s="38"/>
      <c r="D70" s="38"/>
      <c r="E70" s="38"/>
      <c r="F70" s="38"/>
      <c r="G70" s="38"/>
      <c r="H70" s="38"/>
      <c r="I70" s="38"/>
      <c r="J70" s="38"/>
      <c r="K70" s="38"/>
      <c r="L70" s="38"/>
      <c r="M70" s="38"/>
      <c r="N70" s="38"/>
      <c r="O70" s="38"/>
      <c r="P70" s="38"/>
      <c r="Q70" s="38"/>
      <c r="R70" s="38"/>
      <c r="S70" s="38"/>
      <c r="T70" s="38"/>
      <c r="U70" s="38"/>
      <c r="V70" s="38"/>
      <c r="W70" s="38"/>
      <c r="X70" s="38"/>
      <c r="Y70" s="38"/>
    </row>
    <row r="71" spans="1:25" x14ac:dyDescent="0.25">
      <c r="A71" s="38"/>
      <c r="B71" s="38"/>
      <c r="C71" s="38"/>
      <c r="D71" s="38"/>
      <c r="E71" s="38"/>
      <c r="F71" s="38"/>
      <c r="G71" s="38"/>
      <c r="H71" s="38"/>
      <c r="I71" s="38"/>
      <c r="J71" s="38"/>
      <c r="K71" s="38"/>
      <c r="L71" s="38"/>
      <c r="M71" s="38"/>
      <c r="N71" s="38"/>
      <c r="O71" s="38"/>
      <c r="P71" s="38"/>
      <c r="Q71" s="38"/>
      <c r="R71" s="38"/>
      <c r="S71" s="38"/>
      <c r="T71" s="38"/>
      <c r="U71" s="38"/>
      <c r="V71" s="38"/>
      <c r="W71" s="38"/>
      <c r="X71" s="38"/>
      <c r="Y71" s="38"/>
    </row>
    <row r="72" spans="1:25" x14ac:dyDescent="0.25">
      <c r="A72" s="38"/>
      <c r="B72" s="38"/>
      <c r="C72" s="38"/>
      <c r="D72" s="38"/>
      <c r="E72" s="38"/>
      <c r="F72" s="38"/>
      <c r="G72" s="38"/>
      <c r="H72" s="38"/>
      <c r="I72" s="38"/>
      <c r="J72" s="38"/>
      <c r="K72" s="38"/>
      <c r="L72" s="38"/>
      <c r="M72" s="38"/>
      <c r="N72" s="38"/>
      <c r="O72" s="38"/>
      <c r="P72" s="38"/>
      <c r="Q72" s="38"/>
      <c r="R72" s="38"/>
      <c r="S72" s="38"/>
      <c r="T72" s="38"/>
      <c r="U72" s="38"/>
      <c r="V72" s="38"/>
      <c r="W72" s="38"/>
      <c r="X72" s="38"/>
      <c r="Y72" s="38"/>
    </row>
    <row r="73" spans="1:25" x14ac:dyDescent="0.25">
      <c r="A73" s="38"/>
      <c r="B73" s="38"/>
      <c r="C73" s="38"/>
      <c r="D73" s="38"/>
      <c r="E73" s="38"/>
      <c r="F73" s="38"/>
      <c r="G73" s="38"/>
      <c r="H73" s="38"/>
      <c r="I73" s="38"/>
      <c r="J73" s="38"/>
      <c r="K73" s="38"/>
      <c r="L73" s="38"/>
      <c r="M73" s="38"/>
      <c r="N73" s="38"/>
      <c r="O73" s="38"/>
      <c r="P73" s="38"/>
      <c r="Q73" s="38"/>
      <c r="R73" s="38"/>
      <c r="S73" s="38"/>
      <c r="T73" s="38"/>
      <c r="U73" s="38"/>
      <c r="V73" s="38"/>
      <c r="W73" s="38"/>
      <c r="X73" s="38"/>
      <c r="Y73" s="38"/>
    </row>
    <row r="74" spans="1:25" x14ac:dyDescent="0.25">
      <c r="A74" s="38"/>
      <c r="B74" s="38"/>
      <c r="C74" s="38"/>
      <c r="D74" s="38"/>
      <c r="E74" s="38"/>
      <c r="F74" s="38"/>
      <c r="G74" s="38"/>
      <c r="H74" s="38"/>
      <c r="I74" s="38"/>
      <c r="J74" s="38"/>
      <c r="K74" s="38"/>
      <c r="L74" s="38"/>
      <c r="M74" s="38"/>
      <c r="N74" s="38"/>
      <c r="O74" s="38"/>
      <c r="P74" s="38"/>
      <c r="Q74" s="38"/>
      <c r="R74" s="38"/>
      <c r="S74" s="38"/>
      <c r="T74" s="38"/>
      <c r="U74" s="38"/>
      <c r="V74" s="38"/>
      <c r="W74" s="38"/>
      <c r="X74" s="38"/>
      <c r="Y74" s="38"/>
    </row>
  </sheetData>
  <sheetProtection algorithmName="SHA-512" hashValue="tcQC0ioFUF4cn1jPVSotmiSs0j5lLLTAU4iDrqfONDJy3xiisgH1DqqjpdcnhBcMv2uzwcGNfwYMM7G2jzgqAg==" saltValue="WJol5ORXJ24cc7GApS2B/w==" spinCount="100000" sheet="1" objects="1" scenarios="1"/>
  <mergeCells count="37">
    <mergeCell ref="M24:N24"/>
    <mergeCell ref="J25:L25"/>
    <mergeCell ref="M25:N25"/>
    <mergeCell ref="A18:B18"/>
    <mergeCell ref="A19:B19"/>
    <mergeCell ref="A20:B20"/>
    <mergeCell ref="G42:N42"/>
    <mergeCell ref="G43:N43"/>
    <mergeCell ref="A4:N4"/>
    <mergeCell ref="A34:N34"/>
    <mergeCell ref="A36:N36"/>
    <mergeCell ref="J18:N18"/>
    <mergeCell ref="J19:N19"/>
    <mergeCell ref="J20:L20"/>
    <mergeCell ref="M20:N20"/>
    <mergeCell ref="J21:L21"/>
    <mergeCell ref="M21:N21"/>
    <mergeCell ref="J22:L22"/>
    <mergeCell ref="M22:N22"/>
    <mergeCell ref="J23:L23"/>
    <mergeCell ref="M23:N23"/>
    <mergeCell ref="J24:L24"/>
    <mergeCell ref="A1:N1"/>
    <mergeCell ref="A2:N2"/>
    <mergeCell ref="A3:N3"/>
    <mergeCell ref="A5:B5"/>
    <mergeCell ref="D5:H5"/>
    <mergeCell ref="J5:N5"/>
    <mergeCell ref="A28:H28"/>
    <mergeCell ref="J28:N28"/>
    <mergeCell ref="A37:N37"/>
    <mergeCell ref="K29:N29"/>
    <mergeCell ref="K31:N31"/>
    <mergeCell ref="K32:N32"/>
    <mergeCell ref="G39:N39"/>
    <mergeCell ref="G40:N40"/>
    <mergeCell ref="G41:N41"/>
  </mergeCells>
  <conditionalFormatting sqref="M20:M25">
    <cfRule type="containsText" dxfId="18" priority="1" operator="containsText" text="OK">
      <formula>NOT(ISERROR(SEARCH("OK",M20)))</formula>
    </cfRule>
  </conditionalFormatting>
  <conditionalFormatting sqref="M20:M25">
    <cfRule type="containsText" dxfId="17" priority="2" operator="containsText" text="CHECK">
      <formula>NOT(ISERROR(SEARCH("CHECK",M20)))</formula>
    </cfRule>
  </conditionalFormatting>
  <conditionalFormatting sqref="A19:B19">
    <cfRule type="expression" dxfId="16" priority="3">
      <formula>$A$19="GO"</formula>
    </cfRule>
  </conditionalFormatting>
  <conditionalFormatting sqref="A19:B19">
    <cfRule type="expression" dxfId="15" priority="4">
      <formula>$A$19="CONSIDER"</formula>
    </cfRule>
  </conditionalFormatting>
  <conditionalFormatting sqref="A19:B19">
    <cfRule type="expression" dxfId="14" priority="5">
      <formula>$A$19="NO GO"</formula>
    </cfRule>
  </conditionalFormatting>
  <conditionalFormatting sqref="A3:N3">
    <cfRule type="expression" dxfId="13" priority="6">
      <formula>$A$19="GO"</formula>
    </cfRule>
  </conditionalFormatting>
  <conditionalFormatting sqref="A3:N3">
    <cfRule type="expression" dxfId="12" priority="7">
      <formula>$A$19="CONSIDER"</formula>
    </cfRule>
  </conditionalFormatting>
  <conditionalFormatting sqref="A3:N3">
    <cfRule type="expression" dxfId="11" priority="8">
      <formula>$A$19="NO GO"</formula>
    </cfRule>
  </conditionalFormatting>
  <pageMargins left="0.75" right="0.75" top="1" bottom="1" header="0.511811023622047" footer="0.511811023622047"/>
  <pageSetup paperSize="9" scale="40" orientation="landscape" horizontalDpi="300" verticalDpi="300" r:id="rId1"/>
  <headerFooter>
    <oddHeader>&amp;C&amp;"Aptos"&amp;10&amp;K008000 This Email / Document has been classified as Public by Olu Oke&amp;1#_x000D_</oddHeader>
    <oddFooter>&amp;C_x000D_&amp;1#&amp;"Aptos"&amp;10&amp;K000000 Public</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4C031"/>
  </sheetPr>
  <dimension ref="A1:E115"/>
  <sheetViews>
    <sheetView showGridLines="0" view="pageBreakPreview" zoomScaleNormal="100" zoomScaleSheetLayoutView="100" workbookViewId="0">
      <pane ySplit="2" topLeftCell="A40" activePane="bottomLeft" state="frozen"/>
      <selection pane="bottomLeft" activeCell="C48" sqref="C48"/>
    </sheetView>
  </sheetViews>
  <sheetFormatPr defaultColWidth="8.7109375" defaultRowHeight="15" x14ac:dyDescent="0.25"/>
  <cols>
    <col min="1" max="1" width="43.28515625" customWidth="1"/>
    <col min="2" max="2" width="2.5703125" customWidth="1"/>
    <col min="3" max="3" width="18.85546875" customWidth="1"/>
    <col min="4" max="4" width="6.140625" customWidth="1"/>
    <col min="5" max="5" width="73.5703125" customWidth="1"/>
  </cols>
  <sheetData>
    <row r="1" spans="1:5" ht="30" customHeight="1" x14ac:dyDescent="0.25">
      <c r="A1" s="74" t="s">
        <v>203</v>
      </c>
      <c r="B1" s="74"/>
      <c r="C1" s="74"/>
      <c r="D1" s="74"/>
      <c r="E1" s="74"/>
    </row>
    <row r="2" spans="1:5" ht="27.95" customHeight="1" x14ac:dyDescent="0.25">
      <c r="A2" s="75" t="s">
        <v>50</v>
      </c>
      <c r="B2" s="75"/>
      <c r="C2" s="75"/>
      <c r="D2" s="75"/>
      <c r="E2" s="75"/>
    </row>
    <row r="3" spans="1:5" ht="15.95" customHeight="1" x14ac:dyDescent="0.25">
      <c r="A3" s="76" t="str">
        <f>"Type only in the yellow cells. The grey cells are worked out for you and are locked.  All amounts in "&amp;$C$80&amp;" ("&amp;$C$79&amp;")."</f>
        <v>Type only in the yellow cells. The grey cells are worked out for you and are locked.  All amounts in NGN (₦).</v>
      </c>
      <c r="B3" s="76"/>
      <c r="C3" s="76"/>
      <c r="D3" s="76"/>
      <c r="E3" s="76"/>
    </row>
    <row r="4" spans="1:5" ht="21.95" customHeight="1" x14ac:dyDescent="0.25">
      <c r="A4" s="77" t="s">
        <v>206</v>
      </c>
      <c r="B4" s="77"/>
      <c r="C4" s="77"/>
      <c r="D4" s="77"/>
      <c r="E4" s="77"/>
    </row>
    <row r="5" spans="1:5" ht="17.100000000000001" customHeight="1" x14ac:dyDescent="0.25">
      <c r="A5" s="78" t="s">
        <v>206</v>
      </c>
      <c r="B5" s="79"/>
      <c r="C5" s="80" t="s">
        <v>207</v>
      </c>
      <c r="D5" s="81"/>
      <c r="E5" s="82" t="s">
        <v>208</v>
      </c>
    </row>
    <row r="6" spans="1:5" ht="17.100000000000001" customHeight="1" x14ac:dyDescent="0.25">
      <c r="A6" s="78" t="s">
        <v>209</v>
      </c>
      <c r="B6" s="79"/>
      <c r="C6" s="80" t="s">
        <v>210</v>
      </c>
      <c r="D6" s="81"/>
      <c r="E6" s="82" t="str">
        <f>IF($C$5="Debt-financed","Senior alone, or senior plus mezzanine.","Not required, applies to Debt-financed only.")</f>
        <v>Not required, applies to Debt-financed only.</v>
      </c>
    </row>
    <row r="7" spans="1:5" ht="17.100000000000001" customHeight="1" x14ac:dyDescent="0.25">
      <c r="A7" s="78" t="s">
        <v>211</v>
      </c>
      <c r="B7" s="79"/>
      <c r="C7" s="80" t="s">
        <v>212</v>
      </c>
      <c r="D7" s="81"/>
      <c r="E7" s="82" t="str">
        <f>IF($C$5="Joint venture","What the partner brings: Cash, Land, or Both.","Not required, applies to Joint venture only.")</f>
        <v>What the partner brings: Cash, Land, or Both.</v>
      </c>
    </row>
    <row r="8" spans="1:5" ht="17.100000000000001" customHeight="1" x14ac:dyDescent="0.25">
      <c r="A8" s="78" t="s">
        <v>213</v>
      </c>
      <c r="B8" s="79"/>
      <c r="C8" s="80" t="s">
        <v>214</v>
      </c>
      <c r="D8" s="81"/>
      <c r="E8" s="82" t="str">
        <f>IF($C$5="Joint venture","Whether senior debt sits alongside the partner equity.","Not required, applies to Joint venture only.")</f>
        <v>Whether senior debt sits alongside the partner equity.</v>
      </c>
    </row>
    <row r="9" spans="1:5" ht="17.100000000000001" customHeight="1" x14ac:dyDescent="0.25">
      <c r="A9" s="78" t="s">
        <v>215</v>
      </c>
      <c r="B9" s="79"/>
      <c r="C9" s="80" t="s">
        <v>216</v>
      </c>
      <c r="D9" s="81"/>
      <c r="E9" s="82" t="s">
        <v>217</v>
      </c>
    </row>
    <row r="10" spans="1:5" ht="17.100000000000001" customHeight="1" x14ac:dyDescent="0.25">
      <c r="A10" s="78" t="s">
        <v>218</v>
      </c>
      <c r="B10" s="79"/>
      <c r="C10" s="25">
        <v>46204</v>
      </c>
      <c r="D10" s="81" t="s">
        <v>219</v>
      </c>
      <c r="E10" s="82" t="s">
        <v>220</v>
      </c>
    </row>
    <row r="11" spans="1:5" ht="17.100000000000001" customHeight="1" x14ac:dyDescent="0.25">
      <c r="A11" s="78" t="s">
        <v>221</v>
      </c>
      <c r="B11" s="79"/>
      <c r="C11" s="22">
        <v>0.12</v>
      </c>
      <c r="D11" s="81" t="s">
        <v>85</v>
      </c>
      <c r="E11" s="82" t="str">
        <f>IF($C$14=1,"Rate on the mezzanine top-up. Typical 10 to 14% pa.","Not required, applies to the mezzanine branch only.")</f>
        <v>Not required, applies to the mezzanine branch only.</v>
      </c>
    </row>
    <row r="12" spans="1:5" ht="21.95" customHeight="1" x14ac:dyDescent="0.25">
      <c r="A12" s="83" t="s">
        <v>222</v>
      </c>
      <c r="B12" s="83"/>
      <c r="C12" s="83"/>
      <c r="D12" s="83"/>
      <c r="E12" s="83"/>
    </row>
    <row r="13" spans="1:5" ht="17.100000000000001" customHeight="1" x14ac:dyDescent="0.25">
      <c r="A13" s="78" t="s">
        <v>223</v>
      </c>
      <c r="B13" s="79"/>
      <c r="C13" s="26">
        <f>IF($C$5="Self-funded",0,IF($C$5="Joint venture",IF($C$8="Yes",1,0),1))</f>
        <v>1</v>
      </c>
      <c r="D13" s="81"/>
      <c r="E13" s="82" t="s">
        <v>224</v>
      </c>
    </row>
    <row r="14" spans="1:5" ht="17.100000000000001" customHeight="1" x14ac:dyDescent="0.25">
      <c r="A14" s="78" t="s">
        <v>225</v>
      </c>
      <c r="B14" s="79"/>
      <c r="C14" s="26">
        <f>IF(AND($C$5="Debt-financed",$C$6="Senior plus mezzanine"),1,0)</f>
        <v>0</v>
      </c>
      <c r="D14" s="81"/>
      <c r="E14" s="82" t="s">
        <v>224</v>
      </c>
    </row>
    <row r="15" spans="1:5" ht="17.100000000000001" customHeight="1" x14ac:dyDescent="0.25">
      <c r="A15" s="78" t="s">
        <v>226</v>
      </c>
      <c r="B15" s="79"/>
      <c r="C15" s="26">
        <f>IF(AND($C$5="Joint venture",OR($C$7="Cash",$C$7="Both")),1,0)</f>
        <v>1</v>
      </c>
      <c r="D15" s="81"/>
      <c r="E15" s="82" t="s">
        <v>224</v>
      </c>
    </row>
    <row r="16" spans="1:5" ht="17.100000000000001" customHeight="1" x14ac:dyDescent="0.25">
      <c r="A16" s="78" t="s">
        <v>227</v>
      </c>
      <c r="B16" s="79"/>
      <c r="C16" s="26">
        <f>IF(AND($C$5="Joint venture",OR($C$7="Land",$C$7="Both")),1,0)</f>
        <v>1</v>
      </c>
      <c r="D16" s="81"/>
      <c r="E16" s="82" t="s">
        <v>224</v>
      </c>
    </row>
    <row r="17" spans="1:5" ht="17.100000000000001" customHeight="1" x14ac:dyDescent="0.25">
      <c r="A17" s="78" t="s">
        <v>228</v>
      </c>
      <c r="B17" s="79"/>
      <c r="C17" s="26">
        <f>IF(OR($C$9="Yes",$C$16=1),1,0)</f>
        <v>1</v>
      </c>
      <c r="D17" s="81"/>
      <c r="E17" s="82" t="s">
        <v>229</v>
      </c>
    </row>
    <row r="18" spans="1:5" ht="17.100000000000001" customHeight="1" x14ac:dyDescent="0.25">
      <c r="A18" s="78" t="s">
        <v>230</v>
      </c>
      <c r="B18" s="79"/>
      <c r="C18" s="26">
        <f>IF($C$17=1,0,1)</f>
        <v>0</v>
      </c>
      <c r="D18" s="81"/>
      <c r="E18" s="82" t="s">
        <v>231</v>
      </c>
    </row>
    <row r="19" spans="1:5" ht="17.100000000000001" customHeight="1" x14ac:dyDescent="0.25">
      <c r="A19" s="78" t="s">
        <v>232</v>
      </c>
      <c r="B19" s="79"/>
      <c r="C19" s="27">
        <f>IF($C$15=1,$C$45,0)</f>
        <v>0.7</v>
      </c>
      <c r="D19" s="81"/>
      <c r="E19" s="82" t="s">
        <v>233</v>
      </c>
    </row>
    <row r="20" spans="1:5" ht="17.100000000000001" customHeight="1" x14ac:dyDescent="0.25">
      <c r="A20" s="78" t="s">
        <v>234</v>
      </c>
      <c r="B20" s="79"/>
      <c r="C20" s="26">
        <f>IF($C$5="Joint venture",1,0)</f>
        <v>1</v>
      </c>
      <c r="D20" s="81"/>
      <c r="E20" s="82" t="s">
        <v>235</v>
      </c>
    </row>
    <row r="21" spans="1:5" ht="17.100000000000001" customHeight="1" x14ac:dyDescent="0.25">
      <c r="A21" s="84" t="s">
        <v>262</v>
      </c>
      <c r="B21" s="85"/>
      <c r="C21" s="28">
        <v>0.75</v>
      </c>
      <c r="D21" s="86" t="s">
        <v>55</v>
      </c>
      <c r="E21" s="87" t="str">
        <f>IF($C$14=1,"Basis: senior plus mezzanine lifts cost gearing, typical 70 to 80%.","Not required, applies to the mezzanine branch only.")</f>
        <v>Not required, applies to the mezzanine branch only.</v>
      </c>
    </row>
    <row r="22" spans="1:5" ht="21.95" customHeight="1" x14ac:dyDescent="0.25">
      <c r="A22" s="88" t="s">
        <v>51</v>
      </c>
      <c r="B22" s="88"/>
      <c r="C22" s="88"/>
      <c r="D22" s="88"/>
      <c r="E22" s="88"/>
    </row>
    <row r="23" spans="1:5" ht="17.100000000000001" customHeight="1" x14ac:dyDescent="0.25">
      <c r="A23" s="78" t="s">
        <v>52</v>
      </c>
      <c r="B23" s="85"/>
      <c r="C23" s="89">
        <v>3850000</v>
      </c>
      <c r="D23" s="81" t="str">
        <f>$C$79</f>
        <v>₦</v>
      </c>
      <c r="E23" s="82" t="s">
        <v>53</v>
      </c>
    </row>
    <row r="24" spans="1:5" ht="17.100000000000001" customHeight="1" x14ac:dyDescent="0.25">
      <c r="A24" s="78" t="s">
        <v>54</v>
      </c>
      <c r="B24" s="85"/>
      <c r="C24" s="22">
        <v>0.02</v>
      </c>
      <c r="D24" s="81" t="s">
        <v>55</v>
      </c>
      <c r="E24" s="82" t="s">
        <v>56</v>
      </c>
    </row>
    <row r="25" spans="1:5" ht="17.100000000000001" customHeight="1" x14ac:dyDescent="0.25">
      <c r="A25" s="78" t="s">
        <v>57</v>
      </c>
      <c r="B25" s="85"/>
      <c r="C25" s="235">
        <f>Inputs!$C$23*(1+Inputs!$C$96)^(Inputs!$C$35/12)*(1-Inputs!$C$24)</f>
        <v>3773000</v>
      </c>
      <c r="D25" s="81" t="str">
        <f>$C$79</f>
        <v>₦</v>
      </c>
      <c r="E25" s="82" t="s">
        <v>58</v>
      </c>
    </row>
    <row r="26" spans="1:5" ht="17.100000000000001" customHeight="1" x14ac:dyDescent="0.25">
      <c r="A26" s="78" t="s">
        <v>59</v>
      </c>
      <c r="B26" s="85"/>
      <c r="C26" s="89">
        <v>2014249</v>
      </c>
      <c r="D26" s="81" t="str">
        <f>$C$79</f>
        <v>₦</v>
      </c>
      <c r="E26" s="82" t="s">
        <v>60</v>
      </c>
    </row>
    <row r="27" spans="1:5" ht="17.100000000000001" customHeight="1" x14ac:dyDescent="0.25">
      <c r="A27" s="78" t="s">
        <v>61</v>
      </c>
      <c r="B27" s="85"/>
      <c r="C27" s="89">
        <v>221567</v>
      </c>
      <c r="D27" s="81" t="str">
        <f>$C$79</f>
        <v>₦</v>
      </c>
      <c r="E27" s="82" t="s">
        <v>62</v>
      </c>
    </row>
    <row r="28" spans="1:5" ht="17.100000000000001" customHeight="1" x14ac:dyDescent="0.25">
      <c r="A28" s="78" t="s">
        <v>63</v>
      </c>
      <c r="B28" s="85"/>
      <c r="C28" s="89">
        <v>48000</v>
      </c>
      <c r="D28" s="81" t="str">
        <f>$C$79</f>
        <v>₦</v>
      </c>
      <c r="E28" s="82" t="s">
        <v>64</v>
      </c>
    </row>
    <row r="29" spans="1:5" ht="17.100000000000001" customHeight="1" x14ac:dyDescent="0.25">
      <c r="A29" s="78" t="s">
        <v>65</v>
      </c>
      <c r="B29" s="85"/>
      <c r="C29" s="89">
        <v>7875</v>
      </c>
      <c r="D29" s="81" t="str">
        <f>$C$79</f>
        <v>₦</v>
      </c>
      <c r="E29" s="82" t="s">
        <v>66</v>
      </c>
    </row>
    <row r="30" spans="1:5" ht="17.100000000000001" customHeight="1" x14ac:dyDescent="0.25">
      <c r="A30" s="78" t="s">
        <v>67</v>
      </c>
      <c r="B30" s="85"/>
      <c r="C30" s="89">
        <v>525000</v>
      </c>
      <c r="D30" s="81" t="str">
        <f>$C$79</f>
        <v>₦</v>
      </c>
      <c r="E30" s="82" t="s">
        <v>68</v>
      </c>
    </row>
    <row r="31" spans="1:5" ht="17.100000000000001" customHeight="1" x14ac:dyDescent="0.25">
      <c r="A31" s="78" t="s">
        <v>69</v>
      </c>
      <c r="B31" s="85"/>
      <c r="C31" s="89">
        <v>26250</v>
      </c>
      <c r="D31" s="81" t="str">
        <f>$C$79</f>
        <v>₦</v>
      </c>
      <c r="E31" s="82" t="str">
        <f>IF($C$18=1,"Stamp duty on the cash land purchase.","Not required, the land is contributed not purchased.")</f>
        <v>Not required, the land is contributed not purchased.</v>
      </c>
    </row>
    <row r="32" spans="1:5" ht="17.100000000000001" customHeight="1" x14ac:dyDescent="0.25">
      <c r="A32" s="78" t="s">
        <v>70</v>
      </c>
      <c r="B32" s="85"/>
      <c r="C32" s="23">
        <v>30</v>
      </c>
      <c r="D32" s="81" t="s">
        <v>71</v>
      </c>
      <c r="E32" s="82" t="s">
        <v>72</v>
      </c>
    </row>
    <row r="33" spans="1:5" ht="17.100000000000001" customHeight="1" x14ac:dyDescent="0.25">
      <c r="A33" s="78" t="s">
        <v>73</v>
      </c>
      <c r="B33" s="85"/>
      <c r="C33" s="23">
        <v>7</v>
      </c>
      <c r="D33" s="81" t="s">
        <v>71</v>
      </c>
      <c r="E33" s="82" t="s">
        <v>74</v>
      </c>
    </row>
    <row r="34" spans="1:5" ht="17.100000000000001" customHeight="1" x14ac:dyDescent="0.25">
      <c r="A34" s="78" t="s">
        <v>75</v>
      </c>
      <c r="B34" s="85"/>
      <c r="C34" s="23">
        <v>27</v>
      </c>
      <c r="D34" s="81" t="s">
        <v>71</v>
      </c>
      <c r="E34" s="82" t="s">
        <v>76</v>
      </c>
    </row>
    <row r="35" spans="1:5" ht="17.100000000000001" customHeight="1" x14ac:dyDescent="0.25">
      <c r="A35" s="78" t="s">
        <v>77</v>
      </c>
      <c r="B35" s="85"/>
      <c r="C35" s="23">
        <v>30</v>
      </c>
      <c r="D35" s="81" t="s">
        <v>71</v>
      </c>
      <c r="E35" s="82" t="s">
        <v>78</v>
      </c>
    </row>
    <row r="36" spans="1:5" ht="9.9499999999999993" customHeight="1" x14ac:dyDescent="0.25">
      <c r="A36" s="91"/>
      <c r="B36" s="85"/>
      <c r="C36" s="85"/>
      <c r="D36" s="86"/>
      <c r="E36" s="87"/>
    </row>
    <row r="37" spans="1:5" ht="21.95" customHeight="1" x14ac:dyDescent="0.25">
      <c r="A37" s="88" t="s">
        <v>79</v>
      </c>
      <c r="B37" s="88"/>
      <c r="C37" s="88"/>
      <c r="D37" s="88"/>
      <c r="E37" s="88"/>
    </row>
    <row r="38" spans="1:5" ht="17.100000000000001" customHeight="1" x14ac:dyDescent="0.25">
      <c r="A38" s="78" t="s">
        <v>80</v>
      </c>
      <c r="B38" s="85"/>
      <c r="C38" s="22">
        <v>0.02</v>
      </c>
      <c r="D38" s="81" t="s">
        <v>55</v>
      </c>
      <c r="E38" s="82" t="s">
        <v>81</v>
      </c>
    </row>
    <row r="39" spans="1:5" ht="17.100000000000001" customHeight="1" x14ac:dyDescent="0.25">
      <c r="A39" s="78" t="s">
        <v>82</v>
      </c>
      <c r="B39" s="85"/>
      <c r="C39" s="22">
        <v>0.6</v>
      </c>
      <c r="D39" s="81" t="s">
        <v>55</v>
      </c>
      <c r="E39" s="82" t="str">
        <f>IF($C$13=1,"Basis: regional LTC 50 to 70%.","Not required, this route uses no senior debt.")</f>
        <v>Basis: regional LTC 50 to 70%.</v>
      </c>
    </row>
    <row r="40" spans="1:5" ht="17.100000000000001" customHeight="1" x14ac:dyDescent="0.25">
      <c r="A40" s="78" t="s">
        <v>83</v>
      </c>
      <c r="B40" s="85"/>
      <c r="C40" s="22">
        <v>0.55000000000000004</v>
      </c>
      <c r="D40" s="81" t="s">
        <v>55</v>
      </c>
      <c r="E40" s="82" t="str">
        <f>IF($C$13=1,"Basis: regional LTGDV cap.","Not required, this route uses no senior debt.")</f>
        <v>Basis: regional LTGDV cap.</v>
      </c>
    </row>
    <row r="41" spans="1:5" ht="17.100000000000001" customHeight="1" x14ac:dyDescent="0.25">
      <c r="A41" s="78" t="s">
        <v>84</v>
      </c>
      <c r="B41" s="85"/>
      <c r="C41" s="22">
        <v>0.09</v>
      </c>
      <c r="D41" s="81" t="s">
        <v>85</v>
      </c>
      <c r="E41" s="82" t="str">
        <f>IF($C$13=1,"Basis: 6.5 to 9%. Rolled up, not paid in cash.","Not required, this route uses no senior debt.")</f>
        <v>Basis: 6.5 to 9%. Rolled up, not paid in cash.</v>
      </c>
    </row>
    <row r="42" spans="1:5" ht="17.100000000000001" customHeight="1" x14ac:dyDescent="0.25">
      <c r="A42" s="78" t="s">
        <v>86</v>
      </c>
      <c r="B42" s="85"/>
      <c r="C42" s="22">
        <v>1.4999999999999999E-2</v>
      </c>
      <c r="D42" s="81" t="s">
        <v>55</v>
      </c>
      <c r="E42" s="82" t="str">
        <f>IF($C$13=1,"Basis: 1 to 2% of facility.","Not required, this route uses no senior debt.")</f>
        <v>Basis: 1 to 2% of facility.</v>
      </c>
    </row>
    <row r="43" spans="1:5" ht="17.100000000000001" customHeight="1" x14ac:dyDescent="0.25">
      <c r="A43" s="78" t="s">
        <v>87</v>
      </c>
      <c r="B43" s="85"/>
      <c r="C43" s="22">
        <v>0.01</v>
      </c>
      <c r="D43" s="81" t="s">
        <v>55</v>
      </c>
      <c r="E43" s="82" t="str">
        <f>IF($C$13=1,"Basis: 1 to 2% on redemption.","Not required, this route uses no senior debt.")</f>
        <v>Basis: 1 to 2% on redemption.</v>
      </c>
    </row>
    <row r="44" spans="1:5" ht="17.100000000000001" customHeight="1" x14ac:dyDescent="0.25">
      <c r="A44" s="78" t="s">
        <v>88</v>
      </c>
      <c r="B44" s="85"/>
      <c r="C44" s="22">
        <v>0.1</v>
      </c>
      <c r="D44" s="81" t="s">
        <v>85</v>
      </c>
      <c r="E44" s="82" t="str">
        <f>IF($C$20=1,"Basis: JV preferred return hurdle.","Not required, applies to Joint venture only.")</f>
        <v>Basis: JV preferred return hurdle.</v>
      </c>
    </row>
    <row r="45" spans="1:5" ht="17.100000000000001" customHeight="1" x14ac:dyDescent="0.25">
      <c r="A45" s="78" t="s">
        <v>89</v>
      </c>
      <c r="B45" s="85"/>
      <c r="C45" s="22">
        <v>0.7</v>
      </c>
      <c r="D45" s="81" t="s">
        <v>55</v>
      </c>
      <c r="E45" s="82" t="str">
        <f>IF($C$20=1,"Basis: JV term. Sponsor funds the remainder.","Not required, applies to Joint venture only.")</f>
        <v>Basis: JV term. Sponsor funds the remainder.</v>
      </c>
    </row>
    <row r="46" spans="1:5" ht="17.100000000000001" customHeight="1" x14ac:dyDescent="0.25">
      <c r="A46" s="78" t="s">
        <v>90</v>
      </c>
      <c r="B46" s="85"/>
      <c r="C46" s="22">
        <v>0.5</v>
      </c>
      <c r="D46" s="81" t="s">
        <v>55</v>
      </c>
      <c r="E46" s="82" t="str">
        <f>IF($C$20=1,"Basis: JV waterfall. Remainder is the promote.","Not required, applies to Joint venture only.")</f>
        <v>Basis: JV waterfall. Remainder is the promote.</v>
      </c>
    </row>
    <row r="47" spans="1:5" ht="17.100000000000001" customHeight="1" x14ac:dyDescent="0.25">
      <c r="A47" s="78" t="s">
        <v>91</v>
      </c>
      <c r="B47" s="85"/>
      <c r="C47" s="22">
        <v>0.2</v>
      </c>
      <c r="D47" s="81" t="s">
        <v>55</v>
      </c>
      <c r="E47" s="82" t="s">
        <v>92</v>
      </c>
    </row>
    <row r="48" spans="1:5" ht="9.9499999999999993" customHeight="1" x14ac:dyDescent="0.25">
      <c r="A48" s="91"/>
      <c r="B48" s="85"/>
      <c r="C48" s="85"/>
      <c r="D48" s="86"/>
      <c r="E48" s="87"/>
    </row>
    <row r="49" spans="1:5" ht="21.95" customHeight="1" x14ac:dyDescent="0.25">
      <c r="A49" s="88" t="s">
        <v>93</v>
      </c>
      <c r="B49" s="88"/>
      <c r="C49" s="88"/>
      <c r="D49" s="88"/>
      <c r="E49" s="88"/>
    </row>
    <row r="50" spans="1:5" ht="17.100000000000001" customHeight="1" x14ac:dyDescent="0.25">
      <c r="A50" s="78" t="s">
        <v>94</v>
      </c>
      <c r="B50" s="85"/>
      <c r="C50" s="90">
        <f>Inputs!$C$38*Inputs!$C$23</f>
        <v>77000</v>
      </c>
      <c r="D50" s="81" t="str">
        <f>$C$79</f>
        <v>₦</v>
      </c>
      <c r="E50" s="82" t="s">
        <v>95</v>
      </c>
    </row>
    <row r="51" spans="1:5" ht="17.100000000000001" customHeight="1" x14ac:dyDescent="0.25">
      <c r="A51" s="78" t="s">
        <v>96</v>
      </c>
      <c r="B51" s="85"/>
      <c r="C51" s="235">
        <f>Inputs!$C$97+Inputs!$C$27+Inputs!$C$28+Inputs!$C$29</f>
        <v>2291691</v>
      </c>
      <c r="D51" s="81" t="str">
        <f>$C$79</f>
        <v>₦</v>
      </c>
      <c r="E51" s="82" t="s">
        <v>97</v>
      </c>
    </row>
    <row r="52" spans="1:5" ht="17.100000000000001" customHeight="1" x14ac:dyDescent="0.25">
      <c r="A52" s="78" t="s">
        <v>98</v>
      </c>
      <c r="B52" s="85"/>
      <c r="C52" s="90">
        <f>Inputs!$C$51+Inputs!$C$50+Inputs!$C$18*(Inputs!$C$30+Inputs!$C$31)</f>
        <v>2368691</v>
      </c>
      <c r="D52" s="81" t="str">
        <f>$C$79</f>
        <v>₦</v>
      </c>
      <c r="E52" s="82" t="s">
        <v>99</v>
      </c>
    </row>
    <row r="53" spans="1:5" ht="17.100000000000001" customHeight="1" x14ac:dyDescent="0.25">
      <c r="A53" s="78" t="s">
        <v>100</v>
      </c>
      <c r="B53" s="85"/>
      <c r="C53" s="90">
        <f>Inputs!$C$52+Inputs!$C$17*Inputs!$C$30</f>
        <v>2893691</v>
      </c>
      <c r="D53" s="81" t="str">
        <f>$C$79</f>
        <v>₦</v>
      </c>
      <c r="E53" s="82" t="s">
        <v>101</v>
      </c>
    </row>
    <row r="54" spans="1:5" ht="17.100000000000001" customHeight="1" x14ac:dyDescent="0.25">
      <c r="A54" s="78" t="s">
        <v>40</v>
      </c>
      <c r="B54" s="85"/>
      <c r="C54" s="90">
        <f>Inputs!$C$13*MIN(Inputs!$C$39*Inputs!$C$53,Inputs!$C$40*Inputs!$C$23)</f>
        <v>1736214.5999999999</v>
      </c>
      <c r="D54" s="81" t="str">
        <f>$C$79</f>
        <v>₦</v>
      </c>
      <c r="E54" s="82" t="s">
        <v>102</v>
      </c>
    </row>
    <row r="55" spans="1:5" ht="17.100000000000001" customHeight="1" x14ac:dyDescent="0.25">
      <c r="A55" s="78" t="s">
        <v>103</v>
      </c>
      <c r="B55" s="85"/>
      <c r="C55" s="24">
        <f>1-Inputs!$C$45</f>
        <v>0.30000000000000004</v>
      </c>
      <c r="D55" s="81" t="s">
        <v>55</v>
      </c>
      <c r="E55" s="82" t="s">
        <v>104</v>
      </c>
    </row>
    <row r="56" spans="1:5" ht="17.100000000000001" customHeight="1" x14ac:dyDescent="0.25">
      <c r="A56" s="78" t="s">
        <v>105</v>
      </c>
      <c r="B56" s="85"/>
      <c r="C56" s="24">
        <f>1-Inputs!$C$46</f>
        <v>0.5</v>
      </c>
      <c r="D56" s="81" t="s">
        <v>55</v>
      </c>
      <c r="E56" s="82" t="s">
        <v>106</v>
      </c>
    </row>
    <row r="57" spans="1:5" x14ac:dyDescent="0.25">
      <c r="A57" s="92"/>
      <c r="B57" s="92"/>
      <c r="C57" s="92"/>
      <c r="D57" s="92"/>
      <c r="E57" s="92"/>
    </row>
    <row r="58" spans="1:5" x14ac:dyDescent="0.25">
      <c r="A58" s="93" t="s">
        <v>363</v>
      </c>
      <c r="B58" s="93"/>
      <c r="C58" s="93"/>
      <c r="D58" s="93"/>
      <c r="E58" s="93"/>
    </row>
    <row r="59" spans="1:5" x14ac:dyDescent="0.25">
      <c r="A59" s="94" t="s">
        <v>364</v>
      </c>
      <c r="B59" s="95"/>
      <c r="C59" s="96" t="s">
        <v>365</v>
      </c>
      <c r="D59" s="95"/>
      <c r="E59" s="97" t="s">
        <v>366</v>
      </c>
    </row>
    <row r="60" spans="1:5" x14ac:dyDescent="0.25">
      <c r="A60" s="94" t="s">
        <v>367</v>
      </c>
      <c r="B60" s="95"/>
      <c r="C60" s="45">
        <v>1.3</v>
      </c>
      <c r="D60" s="98" t="s">
        <v>368</v>
      </c>
      <c r="E60" s="97" t="s">
        <v>369</v>
      </c>
    </row>
    <row r="61" spans="1:5" x14ac:dyDescent="0.25">
      <c r="A61" s="92"/>
      <c r="B61" s="92"/>
      <c r="C61" s="92"/>
      <c r="D61" s="92"/>
      <c r="E61" s="92"/>
    </row>
    <row r="62" spans="1:5" x14ac:dyDescent="0.25">
      <c r="A62" s="99" t="s">
        <v>375</v>
      </c>
      <c r="B62" s="99"/>
      <c r="C62" s="99"/>
      <c r="D62" s="99"/>
      <c r="E62" s="99"/>
    </row>
    <row r="63" spans="1:5" x14ac:dyDescent="0.25">
      <c r="A63" s="100" t="s">
        <v>376</v>
      </c>
      <c r="B63" s="95"/>
      <c r="C63" s="96" t="s">
        <v>216</v>
      </c>
      <c r="D63" s="95"/>
      <c r="E63" s="101" t="s">
        <v>377</v>
      </c>
    </row>
    <row r="64" spans="1:5" x14ac:dyDescent="0.25">
      <c r="A64" s="100" t="s">
        <v>378</v>
      </c>
      <c r="B64" s="95"/>
      <c r="C64" s="46">
        <v>0.5</v>
      </c>
      <c r="D64" s="98" t="s">
        <v>55</v>
      </c>
      <c r="E64" s="101" t="s">
        <v>379</v>
      </c>
    </row>
    <row r="65" spans="1:5" x14ac:dyDescent="0.25">
      <c r="A65" s="92"/>
      <c r="B65" s="92"/>
      <c r="C65" s="92"/>
      <c r="D65" s="92"/>
      <c r="E65" s="92"/>
    </row>
    <row r="66" spans="1:5" x14ac:dyDescent="0.25">
      <c r="A66" s="99" t="s">
        <v>398</v>
      </c>
      <c r="B66" s="99"/>
      <c r="C66" s="99"/>
      <c r="D66" s="99"/>
      <c r="E66" s="99"/>
    </row>
    <row r="67" spans="1:5" x14ac:dyDescent="0.25">
      <c r="A67" s="100" t="s">
        <v>399</v>
      </c>
      <c r="B67" s="95"/>
      <c r="C67" s="46">
        <v>0.25</v>
      </c>
      <c r="D67" s="98" t="s">
        <v>55</v>
      </c>
      <c r="E67" s="101" t="s">
        <v>400</v>
      </c>
    </row>
    <row r="68" spans="1:5" x14ac:dyDescent="0.25">
      <c r="A68" s="92"/>
      <c r="B68" s="92"/>
      <c r="C68" s="92"/>
      <c r="D68" s="92"/>
      <c r="E68" s="92"/>
    </row>
    <row r="69" spans="1:5" x14ac:dyDescent="0.25">
      <c r="A69" s="99" t="s">
        <v>417</v>
      </c>
      <c r="B69" s="99"/>
      <c r="C69" s="99"/>
      <c r="D69" s="99"/>
      <c r="E69" s="99"/>
    </row>
    <row r="70" spans="1:5" x14ac:dyDescent="0.25">
      <c r="A70" s="100" t="s">
        <v>418</v>
      </c>
      <c r="B70" s="95"/>
      <c r="C70" s="96" t="s">
        <v>216</v>
      </c>
      <c r="D70" s="95"/>
      <c r="E70" s="101" t="s">
        <v>419</v>
      </c>
    </row>
    <row r="71" spans="1:5" x14ac:dyDescent="0.25">
      <c r="A71" s="100" t="s">
        <v>420</v>
      </c>
      <c r="B71" s="95"/>
      <c r="C71" s="46">
        <v>0.2</v>
      </c>
      <c r="D71" s="98" t="s">
        <v>55</v>
      </c>
      <c r="E71" s="101" t="s">
        <v>421</v>
      </c>
    </row>
    <row r="72" spans="1:5" x14ac:dyDescent="0.25">
      <c r="A72" s="92"/>
      <c r="B72" s="92"/>
      <c r="C72" s="92"/>
      <c r="D72" s="92"/>
      <c r="E72" s="92"/>
    </row>
    <row r="73" spans="1:5" x14ac:dyDescent="0.25">
      <c r="A73" s="99" t="s">
        <v>431</v>
      </c>
      <c r="B73" s="99"/>
      <c r="C73" s="99"/>
      <c r="D73" s="99"/>
      <c r="E73" s="99"/>
    </row>
    <row r="74" spans="1:5" x14ac:dyDescent="0.25">
      <c r="A74" s="100" t="s">
        <v>432</v>
      </c>
      <c r="B74" s="95"/>
      <c r="C74" s="256" t="str">
        <f>IF($B$111&gt;0,$B$111,"")</f>
        <v/>
      </c>
      <c r="D74" s="98" t="s">
        <v>433</v>
      </c>
      <c r="E74" s="101" t="s">
        <v>434</v>
      </c>
    </row>
    <row r="75" spans="1:5" x14ac:dyDescent="0.25">
      <c r="A75" s="102" t="s">
        <v>435</v>
      </c>
      <c r="B75" s="95"/>
      <c r="C75" s="256" t="str">
        <f>IF($B$110&gt;0,$B$110,"")</f>
        <v/>
      </c>
      <c r="D75" s="98" t="s">
        <v>436</v>
      </c>
      <c r="E75" s="103" t="s">
        <v>437</v>
      </c>
    </row>
    <row r="76" spans="1:5" x14ac:dyDescent="0.25">
      <c r="A76" s="92"/>
      <c r="B76" s="92"/>
      <c r="C76" s="92"/>
      <c r="D76" s="92"/>
      <c r="E76" s="92"/>
    </row>
    <row r="77" spans="1:5" x14ac:dyDescent="0.25">
      <c r="A77" s="104" t="s">
        <v>515</v>
      </c>
      <c r="B77" s="104"/>
      <c r="C77" s="104"/>
      <c r="D77" s="104"/>
      <c r="E77" s="104"/>
    </row>
    <row r="78" spans="1:5" x14ac:dyDescent="0.25">
      <c r="A78" s="105" t="s">
        <v>516</v>
      </c>
      <c r="B78" s="95"/>
      <c r="C78" s="106" t="s">
        <v>520</v>
      </c>
      <c r="D78" s="95"/>
      <c r="E78" s="107" t="s">
        <v>517</v>
      </c>
    </row>
    <row r="79" spans="1:5" x14ac:dyDescent="0.25">
      <c r="A79" s="108" t="s">
        <v>518</v>
      </c>
      <c r="B79" s="95"/>
      <c r="C79" s="109" t="str">
        <f>CHOOSE(MATCH($C$78,{"GBP";"USD";"EUR";"NGN";"SAR";"CNY"},0),"£","$","€","₦","﷼","¥")</f>
        <v>₦</v>
      </c>
      <c r="D79" s="95"/>
      <c r="E79" s="95"/>
    </row>
    <row r="80" spans="1:5" x14ac:dyDescent="0.25">
      <c r="A80" s="108" t="s">
        <v>519</v>
      </c>
      <c r="B80" s="95"/>
      <c r="C80" s="109" t="str">
        <f>$C$78</f>
        <v>NGN</v>
      </c>
      <c r="D80" s="95"/>
      <c r="E80" s="95"/>
    </row>
    <row r="81" spans="1:5" x14ac:dyDescent="0.25">
      <c r="A81" s="38"/>
      <c r="B81" s="38"/>
      <c r="C81" s="38"/>
      <c r="D81" s="38"/>
      <c r="E81" s="38"/>
    </row>
    <row r="82" spans="1:5" x14ac:dyDescent="0.25">
      <c r="A82" s="234" t="s">
        <v>521</v>
      </c>
      <c r="B82" s="38"/>
      <c r="C82" s="38"/>
      <c r="D82" s="38"/>
      <c r="E82" s="38"/>
    </row>
    <row r="83" spans="1:5" x14ac:dyDescent="0.25">
      <c r="A83" s="233" t="s">
        <v>522</v>
      </c>
      <c r="B83" s="38"/>
      <c r="C83" s="238">
        <v>0</v>
      </c>
      <c r="D83" s="236" t="s">
        <v>55</v>
      </c>
      <c r="E83" s="237" t="s">
        <v>523</v>
      </c>
    </row>
    <row r="85" spans="1:5" x14ac:dyDescent="0.25">
      <c r="A85" s="247" t="s">
        <v>538</v>
      </c>
      <c r="B85" s="38"/>
      <c r="C85" s="38"/>
      <c r="D85" s="38"/>
      <c r="E85" s="38"/>
    </row>
    <row r="86" spans="1:5" x14ac:dyDescent="0.25">
      <c r="A86" s="248" t="s">
        <v>539</v>
      </c>
      <c r="B86" s="38"/>
      <c r="C86" s="249">
        <v>0</v>
      </c>
      <c r="D86" s="236" t="s">
        <v>540</v>
      </c>
      <c r="E86" s="237" t="s">
        <v>541</v>
      </c>
    </row>
    <row r="88" spans="1:5" x14ac:dyDescent="0.25">
      <c r="A88" s="70" t="s">
        <v>549</v>
      </c>
      <c r="B88" s="70"/>
      <c r="C88" s="70"/>
      <c r="D88" s="70"/>
      <c r="E88" s="70"/>
    </row>
    <row r="89" spans="1:5" x14ac:dyDescent="0.25">
      <c r="A89" s="251" t="s">
        <v>550</v>
      </c>
      <c r="B89" s="252"/>
      <c r="C89" s="254" t="s">
        <v>112</v>
      </c>
      <c r="D89" s="252"/>
      <c r="E89" s="253" t="s">
        <v>551</v>
      </c>
    </row>
    <row r="91" spans="1:5" x14ac:dyDescent="0.25">
      <c r="A91" s="70" t="s">
        <v>556</v>
      </c>
      <c r="B91" s="70"/>
      <c r="C91" s="70"/>
      <c r="D91" s="70"/>
      <c r="E91" s="70"/>
    </row>
    <row r="92" spans="1:5" x14ac:dyDescent="0.25">
      <c r="A92" s="251" t="s">
        <v>557</v>
      </c>
      <c r="B92" s="252"/>
      <c r="C92" s="254" t="s">
        <v>558</v>
      </c>
      <c r="D92" s="252"/>
      <c r="E92" s="253" t="s">
        <v>559</v>
      </c>
    </row>
    <row r="94" spans="1:5" x14ac:dyDescent="0.25">
      <c r="A94" s="70" t="s">
        <v>564</v>
      </c>
      <c r="B94" s="70"/>
      <c r="C94" s="70"/>
      <c r="D94" s="70"/>
      <c r="E94" s="70"/>
    </row>
    <row r="95" spans="1:5" x14ac:dyDescent="0.25">
      <c r="A95" s="71" t="s">
        <v>565</v>
      </c>
      <c r="B95" s="44"/>
      <c r="C95" s="257">
        <v>0</v>
      </c>
      <c r="D95" s="255" t="s">
        <v>85</v>
      </c>
      <c r="E95" s="72" t="s">
        <v>566</v>
      </c>
    </row>
    <row r="96" spans="1:5" x14ac:dyDescent="0.25">
      <c r="A96" s="71" t="s">
        <v>567</v>
      </c>
      <c r="B96" s="44"/>
      <c r="C96" s="257">
        <v>0</v>
      </c>
      <c r="D96" s="255" t="s">
        <v>85</v>
      </c>
      <c r="E96" s="72" t="s">
        <v>568</v>
      </c>
    </row>
    <row r="97" spans="1:5" x14ac:dyDescent="0.25">
      <c r="A97" s="73" t="s">
        <v>569</v>
      </c>
      <c r="B97" s="44"/>
      <c r="C97" s="256">
        <f>Inputs!$C$26*(1+Inputs!$C$83)*(1+Inputs!$C$95)^((Inputs!$C$33+Inputs!$C$34)/2/12)</f>
        <v>2014249</v>
      </c>
      <c r="D97" s="44"/>
      <c r="E97" s="44"/>
    </row>
    <row r="99" spans="1:5" x14ac:dyDescent="0.25">
      <c r="A99" s="258" t="s">
        <v>574</v>
      </c>
      <c r="B99" s="258"/>
      <c r="C99" s="258"/>
      <c r="D99" s="258"/>
      <c r="E99" s="258"/>
    </row>
    <row r="100" spans="1:5" x14ac:dyDescent="0.25">
      <c r="A100" s="259" t="s">
        <v>575</v>
      </c>
      <c r="B100" s="252"/>
      <c r="C100" s="254" t="s">
        <v>576</v>
      </c>
      <c r="D100" s="252"/>
      <c r="E100" s="253" t="s">
        <v>577</v>
      </c>
    </row>
    <row r="102" spans="1:5" x14ac:dyDescent="0.25">
      <c r="A102" s="70" t="s">
        <v>605</v>
      </c>
      <c r="B102" s="70"/>
      <c r="C102" s="70"/>
      <c r="D102" s="70"/>
      <c r="E102" s="70"/>
    </row>
    <row r="103" spans="1:5" x14ac:dyDescent="0.25">
      <c r="A103" s="267" t="s">
        <v>606</v>
      </c>
      <c r="B103" s="268" t="s">
        <v>607</v>
      </c>
      <c r="C103" s="268" t="s">
        <v>608</v>
      </c>
      <c r="D103" s="268" t="s">
        <v>609</v>
      </c>
      <c r="E103" s="268" t="s">
        <v>610</v>
      </c>
    </row>
    <row r="104" spans="1:5" x14ac:dyDescent="0.25">
      <c r="A104" s="273"/>
      <c r="B104" s="274"/>
      <c r="C104" s="274"/>
      <c r="D104" s="274"/>
      <c r="E104" s="269" t="str">
        <f>IF(B104="","",B104*D104)</f>
        <v/>
      </c>
    </row>
    <row r="105" spans="1:5" x14ac:dyDescent="0.25">
      <c r="A105" s="273"/>
      <c r="B105" s="274"/>
      <c r="C105" s="274"/>
      <c r="D105" s="274"/>
      <c r="E105" s="269" t="str">
        <f t="shared" ref="E105:E109" si="0">IF(B105="","",B105*D105)</f>
        <v/>
      </c>
    </row>
    <row r="106" spans="1:5" x14ac:dyDescent="0.25">
      <c r="A106" s="273"/>
      <c r="B106" s="274"/>
      <c r="C106" s="274"/>
      <c r="D106" s="274"/>
      <c r="E106" s="269" t="str">
        <f t="shared" si="0"/>
        <v/>
      </c>
    </row>
    <row r="107" spans="1:5" x14ac:dyDescent="0.25">
      <c r="A107" s="273"/>
      <c r="B107" s="274"/>
      <c r="C107" s="274"/>
      <c r="D107" s="274"/>
      <c r="E107" s="269" t="str">
        <f t="shared" si="0"/>
        <v/>
      </c>
    </row>
    <row r="108" spans="1:5" x14ac:dyDescent="0.25">
      <c r="A108" s="273"/>
      <c r="B108" s="274"/>
      <c r="C108" s="274"/>
      <c r="D108" s="274"/>
      <c r="E108" s="269" t="str">
        <f t="shared" si="0"/>
        <v/>
      </c>
    </row>
    <row r="109" spans="1:5" x14ac:dyDescent="0.25">
      <c r="A109" s="273"/>
      <c r="B109" s="274"/>
      <c r="C109" s="274"/>
      <c r="D109" s="274"/>
      <c r="E109" s="269" t="str">
        <f t="shared" si="0"/>
        <v/>
      </c>
    </row>
    <row r="110" spans="1:5" x14ac:dyDescent="0.25">
      <c r="A110" s="270" t="s">
        <v>611</v>
      </c>
      <c r="B110" s="271">
        <f>SUM(B104:B109)</f>
        <v>0</v>
      </c>
      <c r="C110" s="44"/>
      <c r="D110" s="44"/>
      <c r="E110" s="271">
        <f>SUM(E104:E109)</f>
        <v>0</v>
      </c>
    </row>
    <row r="111" spans="1:5" x14ac:dyDescent="0.25">
      <c r="A111" s="71" t="s">
        <v>612</v>
      </c>
      <c r="B111" s="272">
        <f>SUMPRODUCT(B104:B109,C104:C109)</f>
        <v>0</v>
      </c>
      <c r="C111" s="44"/>
      <c r="D111" s="44"/>
      <c r="E111" s="44"/>
    </row>
    <row r="112" spans="1:5" x14ac:dyDescent="0.25">
      <c r="A112" s="71" t="s">
        <v>613</v>
      </c>
      <c r="B112" s="272" t="str">
        <f>IF(SUM(B104:B109)=0,"–",E110-$C$23)</f>
        <v>–</v>
      </c>
      <c r="C112" s="44"/>
      <c r="D112" s="44"/>
      <c r="E112" s="44"/>
    </row>
    <row r="114" spans="1:5" x14ac:dyDescent="0.25">
      <c r="A114" s="70" t="s">
        <v>666</v>
      </c>
      <c r="B114" s="70"/>
      <c r="C114" s="70"/>
      <c r="D114" s="70"/>
      <c r="E114" s="70"/>
    </row>
    <row r="115" spans="1:5" x14ac:dyDescent="0.25">
      <c r="A115" s="251" t="s">
        <v>667</v>
      </c>
      <c r="B115" s="252"/>
      <c r="C115" s="289">
        <v>0.05</v>
      </c>
      <c r="D115" s="288" t="s">
        <v>668</v>
      </c>
      <c r="E115" s="253" t="s">
        <v>669</v>
      </c>
    </row>
  </sheetData>
  <sheetProtection algorithmName="SHA-512" hashValue="6kXd1VAexj9wC5R/goTWkm6bAdU2Npsk8+tajc6FVQRqSc9Fvgx2rlDoEsN5PTNWiRNX4inS63wjpZB0lnKjpA==" saltValue="VvgbaGNvcVWCWRL4NN69hQ==" spinCount="100000" sheet="1" objects="1" scenarios="1"/>
  <mergeCells count="17">
    <mergeCell ref="A102:E102"/>
    <mergeCell ref="A114:E114"/>
    <mergeCell ref="A77:E77"/>
    <mergeCell ref="A88:E88"/>
    <mergeCell ref="A91:E91"/>
    <mergeCell ref="A94:E94"/>
    <mergeCell ref="A99:E99"/>
    <mergeCell ref="A58:E58"/>
    <mergeCell ref="A62:E62"/>
    <mergeCell ref="A66:E66"/>
    <mergeCell ref="A69:E69"/>
    <mergeCell ref="A73:E73"/>
    <mergeCell ref="A1:E1"/>
    <mergeCell ref="A2:E2"/>
    <mergeCell ref="A22:E22"/>
    <mergeCell ref="A37:E37"/>
    <mergeCell ref="A49:E49"/>
  </mergeCells>
  <conditionalFormatting sqref="A6:E6">
    <cfRule type="expression" dxfId="10" priority="5">
      <formula>$C$5&lt;&gt;"Debt-financed"</formula>
    </cfRule>
  </conditionalFormatting>
  <conditionalFormatting sqref="A7:E8">
    <cfRule type="expression" dxfId="9" priority="6">
      <formula>$C$5&lt;&gt;"Joint venture"</formula>
    </cfRule>
  </conditionalFormatting>
  <conditionalFormatting sqref="A11:E11">
    <cfRule type="expression" dxfId="8" priority="4">
      <formula>$C$14=0</formula>
    </cfRule>
  </conditionalFormatting>
  <conditionalFormatting sqref="A21:E21">
    <cfRule type="expression" dxfId="7" priority="7">
      <formula>$C$14=0</formula>
    </cfRule>
  </conditionalFormatting>
  <conditionalFormatting sqref="A31:E31">
    <cfRule type="expression" dxfId="6" priority="3">
      <formula>$C$18=0</formula>
    </cfRule>
  </conditionalFormatting>
  <conditionalFormatting sqref="A39:E43">
    <cfRule type="expression" dxfId="5" priority="1">
      <formula>$C$13=0</formula>
    </cfRule>
  </conditionalFormatting>
  <conditionalFormatting sqref="A44:E46">
    <cfRule type="expression" dxfId="4" priority="2">
      <formula>$C$20=0</formula>
    </cfRule>
  </conditionalFormatting>
  <conditionalFormatting sqref="C59:C60">
    <cfRule type="expression" dxfId="3" priority="8">
      <formula>$C$20=0</formula>
    </cfRule>
  </conditionalFormatting>
  <conditionalFormatting sqref="C64">
    <cfRule type="expression" dxfId="2" priority="9">
      <formula>$C$63="No"</formula>
    </cfRule>
  </conditionalFormatting>
  <conditionalFormatting sqref="C70:C71">
    <cfRule type="expression" dxfId="1" priority="10">
      <formula>$C$20=0</formula>
    </cfRule>
  </conditionalFormatting>
  <conditionalFormatting sqref="C71">
    <cfRule type="expression" dxfId="0" priority="11">
      <formula>$C$70="No"</formula>
    </cfRule>
  </conditionalFormatting>
  <dataValidations count="35">
    <dataValidation type="list" allowBlank="1" showInputMessage="1" showErrorMessage="1" promptTitle="Funding strategy" prompt="Pick the route. This drives every other tab. Example: Joint venture." sqref="C5" xr:uid="{E738F036-07DA-45D2-BB4D-B35625CF2244}">
      <formula1>"Self-funded,Debt-financed,Joint venture,Off-plan"</formula1>
    </dataValidation>
    <dataValidation type="list" allowBlank="1" showInputMessage="1" showErrorMessage="1" promptTitle="Debt structure" prompt="Debt-financed only. Senior alone, or senior plus mezzanine for extra gearing. Example: Senior loan only." sqref="C6" xr:uid="{2D0D6C94-482D-4889-9872-30601156E1E9}">
      <formula1>"Senior loan only,Senior plus mezzanine"</formula1>
    </dataValidation>
    <dataValidation type="list" allowBlank="1" showInputMessage="1" showErrorMessage="1" promptTitle="Partner contributes" prompt="Joint venture only. What the partner brings. Example: Both, money and the site." sqref="C7" xr:uid="{E66AA726-676B-401E-BD38-DBC808439601}">
      <formula1>"Cash,Land,Both"</formula1>
    </dataValidation>
    <dataValidation type="list" allowBlank="1" showInputMessage="1" showErrorMessage="1" promptTitle="Senior debt alongside the JV" prompt="Joint venture only. Yes adds a senior loan under the partner equity. Example: Yes." sqref="C8" xr:uid="{96F24E29-1D57-4AA7-8C08-251039EE0E88}">
      <formula1>"Yes,No"</formula1>
    </dataValidation>
    <dataValidation type="list" allowBlank="1" showInputMessage="1" showErrorMessage="1" promptTitle="Do you already own the land" prompt="Yes, land is your contribution at value. No, you buy it for cash and pay SDLT. Example: No." sqref="C9" xr:uid="{3CEA99E2-A132-4F7C-8F9B-23AC5405F9FB}">
      <formula1>"Yes,No"</formula1>
    </dataValidation>
    <dataValidation allowBlank="1" showInputMessage="1" showErrorMessage="1" promptTitle="Project commencement date" prompt="The calendar start. Month 1 of the cashflow is this month. Example: 01 Jul 2026." sqref="C10" xr:uid="{14C64DFD-1DF9-4480-B869-E9BFFBBD8C33}"/>
    <dataValidation allowBlank="1" showInputMessage="1" showErrorMessage="1" promptTitle="Mezzanine interest rate" prompt="Mezzanine branch only. Annual rate on the top-up. Typical 10 to 14%. Example: 12%." sqref="C11" xr:uid="{3D682040-4A98-4D5C-9747-A4E8D605AEC8}"/>
    <dataValidation allowBlank="1" showInputMessage="1" showErrorMessage="1" promptTitle="Gross development value" prompt="Sale value of the finished scheme. Typical 1m to 10m. Example: 3,850,000." sqref="C23" xr:uid="{98482997-7664-40E5-8A52-78E5AD0BF941}"/>
    <dataValidation allowBlank="1" showInputMessage="1" showErrorMessage="1" promptTitle="Sales costs" prompt="Agent and legal fees on sale, percent of GDV. Typical 1.5 to 3%. Example: 2%." sqref="C24" xr:uid="{5B1E4FAA-E6A3-42C3-9E97-4E0D45F933B1}"/>
    <dataValidation allowBlank="1" showInputMessage="1" showErrorMessage="1" promptTitle="Construction cost" prompt="Total build cost, all elements. Example: 2,014,249." sqref="C26" xr:uid="{C4A13092-7DDC-4859-8B74-532291061173}"/>
    <dataValidation allowBlank="1" showInputMessage="1" showErrorMessage="1" promptTitle="Professional fees" prompt="Design and consultant team. Typical 8 to 12% of build. Example: 221,567." sqref="C27" xr:uid="{C41CAB3F-6BEB-416E-AAB0-6074A8D1F81A}"/>
    <dataValidation allowBlank="1" showInputMessage="1" showErrorMessage="1" promptTitle="Statutory" prompt="Planning obligations and levies, S106 and CIL. Example: 48,000." sqref="C28" xr:uid="{EAA85CBA-30F6-4EEB-8709-2B6EE9F024D7}"/>
    <dataValidation allowBlank="1" showInputMessage="1" showErrorMessage="1" promptTitle="Acquisition and legal" prompt="Deal and legal costs at the front. Example: 7,875." sqref="C29" xr:uid="{D3A2E29E-3953-4F44-BBC7-D34852B030E8}"/>
    <dataValidation allowBlank="1" showInputMessage="1" showErrorMessage="1" promptTitle="Land value" prompt="Agreed worth of the land. Example: 525,000." sqref="C30" xr:uid="{E35D8CD0-1733-4099-96DA-A8E380579DF3}"/>
    <dataValidation allowBlank="1" showInputMessage="1" showErrorMessage="1" promptTitle="SDLT" prompt="Stamp duty on a cash land purchase. Applies only if you do not own the land. Example: 26,250." sqref="C31" xr:uid="{7039C1A3-0D3E-4EE8-95C1-DC2CE382A752}"/>
    <dataValidation allowBlank="1" showInputMessage="1" showErrorMessage="1" promptTitle="Programme" prompt="Total project length in months. Typical 18 to 36. Example: 30." sqref="C32" xr:uid="{52733094-873E-45E3-9035-37E3FC680C1B}"/>
    <dataValidation allowBlank="1" showInputMessage="1" showErrorMessage="1" promptTitle="Construction start month" prompt="Month build draws begin. Example: 7." sqref="C33" xr:uid="{E70A2F5D-6E5D-42DF-8B62-7E2CCAFBBE8C}"/>
    <dataValidation allowBlank="1" showInputMessage="1" showErrorMessage="1" promptTitle="Construction end month" prompt="Month build draws finish. Example: 27." sqref="C34" xr:uid="{B74226BE-7433-4B19-AC8A-FADF01AB2DDA}"/>
    <dataValidation allowBlank="1" showInputMessage="1" showErrorMessage="1" promptTitle="Completion and sale month" prompt="Month the NDV is received. Example: 30." sqref="C35" xr:uid="{BD39069C-9511-4655-BDB5-70D01321B138}"/>
    <dataValidation allowBlank="1" showInputMessage="1" showErrorMessage="1" promptTitle="Development management fee" prompt="Percent of GDV, paid to you. Typical 1.5 to 3%. Example: 2%." sqref="C38" xr:uid="{235FC302-23A9-45D9-BE47-2D371358682E}"/>
    <dataValidation allowBlank="1" showInputMessage="1" showErrorMessage="1" promptTitle="Senior loan to cost" prompt="Senior loan as a percent of total cost. Typical 50 to 70%. Example: 60%." sqref="C39" xr:uid="{9A543E55-6A22-4308-A875-083508B84305}"/>
    <dataValidation allowBlank="1" showInputMessage="1" showErrorMessage="1" promptTitle="Senior loan to GDV" prompt="Senior loan capped as a percent of GDV. Typical 55 to 65%. Example: 55%." sqref="C40" xr:uid="{1F41371C-E544-4FDB-8094-10DFC914F94B}"/>
    <dataValidation allowBlank="1" showInputMessage="1" showErrorMessage="1" promptTitle="Senior interest rate" prompt="Per year, rolled up not paid in cash. Typical 6.5 to 9%. Example: 9%." sqref="C41" xr:uid="{E2AE3C7B-1115-48B2-8458-C4ED0F2D29AA}"/>
    <dataValidation allowBlank="1" showInputMessage="1" showErrorMessage="1" promptTitle="Senior arrangement fee" prompt="One off senior fee on the facility. Typical 1 to 2%. Example: 1.5%." sqref="C42" xr:uid="{479AEDE4-FF17-4DFD-9E54-5982CA7419D7}"/>
    <dataValidation allowBlank="1" showInputMessage="1" showErrorMessage="1" promptTitle="Senior exit fee" prompt="Senior fee on redemption. Typical 1 to 2%. Example: 1%." sqref="C43" xr:uid="{4B89CB19-2384-4215-BFB7-8411D753626E}"/>
    <dataValidation allowBlank="1" showInputMessage="1" showErrorMessage="1" promptTitle="Preferred return" prompt="Joint venture only. Annual return on equity before promote. Typical 8 to 12%. Example: 10%." sqref="C44" xr:uid="{3F88E210-56A9-4A81-BC09-6607F4C7DC10}"/>
    <dataValidation allowBlank="1" showInputMessage="1" showErrorMessage="1" promptTitle="Funding partner cash split" prompt="Joint venture only. Share of cash equity the partner funds. Example: 70%." sqref="C45" xr:uid="{8F880FD0-F62E-4B07-8466-F89F2F8C1AB2}"/>
    <dataValidation allowBlank="1" showInputMessage="1" showErrorMessage="1" promptTitle="Residual profit to capital" prompt="Joint venture only. Share of residual split pro rata to capital. Example: 50%." sqref="C46" xr:uid="{C96E348A-7151-49AB-8449-BB796E212BC0}"/>
    <dataValidation allowBlank="1" showInputMessage="1" showErrorMessage="1" promptTitle="Target profit on cost" prompt="Your viability hurdle. Typical 15 to 20%. Example: 20%." sqref="C47" xr:uid="{258E2178-D4D7-4C2D-9D3D-BE0368078D74}"/>
    <dataValidation type="list" allowBlank="1" showInputMessage="1" showErrorMessage="1" sqref="C59" xr:uid="{A9532E01-8149-439A-BCC1-25151B435EAD}">
      <formula1>"Preferred return,Equity multiple"</formula1>
    </dataValidation>
    <dataValidation type="list" allowBlank="1" showInputMessage="1" showErrorMessage="1" sqref="C63 C70" xr:uid="{392B74EE-DC94-4A31-8DC6-51626A31AC79}">
      <formula1>"Yes,No"</formula1>
    </dataValidation>
    <dataValidation type="list" allowBlank="1" showInputMessage="1" showErrorMessage="1" sqref="C78" xr:uid="{177E7288-C197-4124-BD28-B0258B8FD2D7}">
      <formula1>"GBP,USD,EUR,NGN,SAR,CNY"</formula1>
    </dataValidation>
    <dataValidation type="list" allowBlank="1" showInputMessage="1" showErrorMessage="1" sqref="C89" xr:uid="{7127781F-7402-4CF6-B8D8-604017A878A9}">
      <formula1>"Opening balance,Average balance"</formula1>
    </dataValidation>
    <dataValidation type="list" allowBlank="1" showInputMessage="1" showErrorMessage="1" sqref="C92" xr:uid="{48FB0D61-BC28-4456-9ED0-BCBF2E1D1E48}">
      <formula1>"Even,S-curve"</formula1>
    </dataValidation>
    <dataValidation type="list" allowBlank="1" showInputMessage="1" showErrorMessage="1" sqref="C100" xr:uid="{F3ABBB16-DC79-425E-9293-872A0F4604A6}">
      <formula1>"Debt first,Equity first"</formula1>
    </dataValidation>
  </dataValidations>
  <pageMargins left="0.75" right="0.75" top="1" bottom="1" header="0.511811023622047" footer="0.511811023622047"/>
  <pageSetup paperSize="9" scale="72" orientation="landscape" horizontalDpi="300" verticalDpi="300" r:id="rId1"/>
  <headerFooter>
    <oddHeader>&amp;C&amp;"Aptos"&amp;10&amp;K008000 This Email / Document has been classified as Public by Olu Oke&amp;1#_x000D_</oddHeader>
    <oddFooter>&amp;C_x000D_&amp;1#&amp;"Aptos"&amp;10&amp;K000000 Public</oddFooter>
  </headerFooter>
  <rowBreaks count="1" manualBreakCount="1">
    <brk id="35"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4D67B-0435-4E2B-A74C-54E3F1963F99}">
  <sheetPr>
    <tabColor rgb="FF1F7A44"/>
  </sheetPr>
  <dimension ref="A1:AK27"/>
  <sheetViews>
    <sheetView workbookViewId="0">
      <pane xSplit="2" ySplit="4" topLeftCell="C5" activePane="bottomRight" state="frozen"/>
      <selection pane="topRight" activeCell="C1" sqref="C1"/>
      <selection pane="bottomLeft" activeCell="A5" sqref="A5"/>
      <selection pane="bottomRight" activeCell="A13" sqref="A13"/>
    </sheetView>
  </sheetViews>
  <sheetFormatPr defaultColWidth="8.7109375" defaultRowHeight="15" x14ac:dyDescent="0.25"/>
  <cols>
    <col min="1" max="1" width="27.28515625" customWidth="1"/>
    <col min="2" max="2" width="32.42578125" customWidth="1"/>
    <col min="3" max="32" width="14.5703125" customWidth="1"/>
    <col min="33" max="36" width="11.5703125" customWidth="1"/>
    <col min="37" max="37" width="14.85546875" customWidth="1"/>
  </cols>
  <sheetData>
    <row r="1" spans="1:37" ht="20.25" x14ac:dyDescent="0.3">
      <c r="A1" s="193" t="s">
        <v>237</v>
      </c>
      <c r="B1" s="193"/>
      <c r="C1" s="193"/>
      <c r="D1" s="193"/>
      <c r="E1" s="193"/>
      <c r="F1" s="193"/>
      <c r="G1" s="193"/>
      <c r="H1" s="193"/>
      <c r="I1" s="193"/>
      <c r="J1" s="193"/>
      <c r="K1" s="193"/>
      <c r="L1" s="193"/>
      <c r="M1" s="193"/>
      <c r="N1" s="193"/>
      <c r="O1" s="193"/>
      <c r="P1" s="193"/>
      <c r="Q1" s="193"/>
      <c r="R1" s="193"/>
      <c r="S1" s="193"/>
      <c r="T1" s="193"/>
      <c r="U1" s="193"/>
      <c r="V1" s="193"/>
      <c r="W1" s="193"/>
      <c r="X1" s="193"/>
      <c r="Y1" s="193"/>
      <c r="Z1" s="193"/>
      <c r="AA1" s="193"/>
      <c r="AB1" s="193"/>
      <c r="AC1" s="193"/>
      <c r="AD1" s="193"/>
      <c r="AE1" s="193"/>
      <c r="AF1" s="193"/>
      <c r="AG1" s="193"/>
      <c r="AH1" s="193"/>
      <c r="AI1" s="193"/>
      <c r="AJ1" s="193"/>
      <c r="AK1" s="193"/>
    </row>
    <row r="2" spans="1:37" x14ac:dyDescent="0.25">
      <c r="A2" s="194" t="str">
        <f>"Costs by phase and the sale, spread across the calendar from your commencement date. The cumulative cash position is the funding requirement, ending at project profit.  All amounts in "&amp;Inputs!$C$80&amp;" ("&amp;Inputs!$C$79&amp;")."</f>
        <v>Costs by phase and the sale, spread across the calendar from your commencement date. The cumulative cash position is the funding requirement, ending at project profit.  All amounts in NGN (₦).</v>
      </c>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row>
    <row r="3" spans="1:37" ht="18" customHeight="1" x14ac:dyDescent="0.25">
      <c r="A3" s="195" t="s">
        <v>279</v>
      </c>
      <c r="B3" s="195"/>
      <c r="C3" s="195" t="s">
        <v>280</v>
      </c>
      <c r="D3" s="195"/>
      <c r="E3" s="195"/>
      <c r="F3" s="195"/>
      <c r="G3" s="195"/>
      <c r="H3" s="195"/>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t="s">
        <v>281</v>
      </c>
      <c r="AH3" s="195"/>
      <c r="AI3" s="195"/>
      <c r="AJ3" s="195"/>
      <c r="AK3" s="196" t="s">
        <v>108</v>
      </c>
    </row>
    <row r="4" spans="1:37" x14ac:dyDescent="0.25">
      <c r="A4" s="197" t="s">
        <v>238</v>
      </c>
      <c r="B4" s="197" t="s">
        <v>239</v>
      </c>
      <c r="C4" s="5">
        <f>Inputs!$C$10</f>
        <v>46204</v>
      </c>
      <c r="D4" s="5">
        <f>EDATE($C$4,COLUMN()-3)</f>
        <v>46235</v>
      </c>
      <c r="E4" s="5">
        <f t="shared" ref="E4:AF4" si="0">EDATE($C$4,COLUMN()-3)</f>
        <v>46266</v>
      </c>
      <c r="F4" s="5">
        <f t="shared" si="0"/>
        <v>46296</v>
      </c>
      <c r="G4" s="5">
        <f t="shared" si="0"/>
        <v>46327</v>
      </c>
      <c r="H4" s="5">
        <f t="shared" si="0"/>
        <v>46357</v>
      </c>
      <c r="I4" s="5">
        <f t="shared" si="0"/>
        <v>46388</v>
      </c>
      <c r="J4" s="5">
        <f t="shared" si="0"/>
        <v>46419</v>
      </c>
      <c r="K4" s="5">
        <f t="shared" si="0"/>
        <v>46447</v>
      </c>
      <c r="L4" s="5">
        <f t="shared" si="0"/>
        <v>46478</v>
      </c>
      <c r="M4" s="5">
        <f t="shared" si="0"/>
        <v>46508</v>
      </c>
      <c r="N4" s="5">
        <f t="shared" si="0"/>
        <v>46539</v>
      </c>
      <c r="O4" s="5">
        <f t="shared" si="0"/>
        <v>46569</v>
      </c>
      <c r="P4" s="5">
        <f t="shared" si="0"/>
        <v>46600</v>
      </c>
      <c r="Q4" s="5">
        <f t="shared" si="0"/>
        <v>46631</v>
      </c>
      <c r="R4" s="5">
        <f t="shared" si="0"/>
        <v>46661</v>
      </c>
      <c r="S4" s="5">
        <f t="shared" si="0"/>
        <v>46692</v>
      </c>
      <c r="T4" s="5">
        <f t="shared" si="0"/>
        <v>46722</v>
      </c>
      <c r="U4" s="5">
        <f t="shared" si="0"/>
        <v>46753</v>
      </c>
      <c r="V4" s="5">
        <f t="shared" si="0"/>
        <v>46784</v>
      </c>
      <c r="W4" s="5">
        <f t="shared" si="0"/>
        <v>46813</v>
      </c>
      <c r="X4" s="5">
        <f t="shared" si="0"/>
        <v>46844</v>
      </c>
      <c r="Y4" s="5">
        <f t="shared" si="0"/>
        <v>46874</v>
      </c>
      <c r="Z4" s="5">
        <f t="shared" si="0"/>
        <v>46905</v>
      </c>
      <c r="AA4" s="5">
        <f t="shared" si="0"/>
        <v>46935</v>
      </c>
      <c r="AB4" s="5">
        <f t="shared" si="0"/>
        <v>46966</v>
      </c>
      <c r="AC4" s="5">
        <f t="shared" si="0"/>
        <v>46997</v>
      </c>
      <c r="AD4" s="5">
        <f t="shared" si="0"/>
        <v>47027</v>
      </c>
      <c r="AE4" s="5">
        <f t="shared" si="0"/>
        <v>47058</v>
      </c>
      <c r="AF4" s="5">
        <f t="shared" si="0"/>
        <v>47088</v>
      </c>
      <c r="AG4" s="6">
        <f>YEAR($C$4)</f>
        <v>2026</v>
      </c>
      <c r="AH4" s="6">
        <f>AG4+1</f>
        <v>2027</v>
      </c>
      <c r="AI4" s="6">
        <f>AG4+2</f>
        <v>2028</v>
      </c>
      <c r="AJ4" s="6">
        <f>AG4+3</f>
        <v>2029</v>
      </c>
      <c r="AK4" s="198" t="s">
        <v>240</v>
      </c>
    </row>
    <row r="5" spans="1:37" x14ac:dyDescent="0.25">
      <c r="A5" s="199" t="s">
        <v>241</v>
      </c>
      <c r="B5" s="200" t="s">
        <v>242</v>
      </c>
      <c r="C5" s="201">
        <f>IF((COLUMN()-2)=1,-Inputs!$C$30,0)</f>
        <v>-525000</v>
      </c>
      <c r="D5" s="201">
        <f>IF((COLUMN()-2)=1,-Inputs!$C$30,0)</f>
        <v>0</v>
      </c>
      <c r="E5" s="201">
        <f>IF((COLUMN()-2)=1,-Inputs!$C$30,0)</f>
        <v>0</v>
      </c>
      <c r="F5" s="201">
        <f>IF((COLUMN()-2)=1,-Inputs!$C$30,0)</f>
        <v>0</v>
      </c>
      <c r="G5" s="201">
        <f>IF((COLUMN()-2)=1,-Inputs!$C$30,0)</f>
        <v>0</v>
      </c>
      <c r="H5" s="201">
        <f>IF((COLUMN()-2)=1,-Inputs!$C$30,0)</f>
        <v>0</v>
      </c>
      <c r="I5" s="201">
        <f>IF((COLUMN()-2)=1,-Inputs!$C$30,0)</f>
        <v>0</v>
      </c>
      <c r="J5" s="201">
        <f>IF((COLUMN()-2)=1,-Inputs!$C$30,0)</f>
        <v>0</v>
      </c>
      <c r="K5" s="201">
        <f>IF((COLUMN()-2)=1,-Inputs!$C$30,0)</f>
        <v>0</v>
      </c>
      <c r="L5" s="201">
        <f>IF((COLUMN()-2)=1,-Inputs!$C$30,0)</f>
        <v>0</v>
      </c>
      <c r="M5" s="201">
        <f>IF((COLUMN()-2)=1,-Inputs!$C$30,0)</f>
        <v>0</v>
      </c>
      <c r="N5" s="201">
        <f>IF((COLUMN()-2)=1,-Inputs!$C$30,0)</f>
        <v>0</v>
      </c>
      <c r="O5" s="201">
        <f>IF((COLUMN()-2)=1,-Inputs!$C$30,0)</f>
        <v>0</v>
      </c>
      <c r="P5" s="201">
        <f>IF((COLUMN()-2)=1,-Inputs!$C$30,0)</f>
        <v>0</v>
      </c>
      <c r="Q5" s="201">
        <f>IF((COLUMN()-2)=1,-Inputs!$C$30,0)</f>
        <v>0</v>
      </c>
      <c r="R5" s="201">
        <f>IF((COLUMN()-2)=1,-Inputs!$C$30,0)</f>
        <v>0</v>
      </c>
      <c r="S5" s="201">
        <f>IF((COLUMN()-2)=1,-Inputs!$C$30,0)</f>
        <v>0</v>
      </c>
      <c r="T5" s="201">
        <f>IF((COLUMN()-2)=1,-Inputs!$C$30,0)</f>
        <v>0</v>
      </c>
      <c r="U5" s="201">
        <f>IF((COLUMN()-2)=1,-Inputs!$C$30,0)</f>
        <v>0</v>
      </c>
      <c r="V5" s="201">
        <f>IF((COLUMN()-2)=1,-Inputs!$C$30,0)</f>
        <v>0</v>
      </c>
      <c r="W5" s="201">
        <f>IF((COLUMN()-2)=1,-Inputs!$C$30,0)</f>
        <v>0</v>
      </c>
      <c r="X5" s="201">
        <f>IF((COLUMN()-2)=1,-Inputs!$C$30,0)</f>
        <v>0</v>
      </c>
      <c r="Y5" s="201">
        <f>IF((COLUMN()-2)=1,-Inputs!$C$30,0)</f>
        <v>0</v>
      </c>
      <c r="Z5" s="201">
        <f>IF((COLUMN()-2)=1,-Inputs!$C$30,0)</f>
        <v>0</v>
      </c>
      <c r="AA5" s="201">
        <f>IF((COLUMN()-2)=1,-Inputs!$C$30,0)</f>
        <v>0</v>
      </c>
      <c r="AB5" s="201">
        <f>IF((COLUMN()-2)=1,-Inputs!$C$30,0)</f>
        <v>0</v>
      </c>
      <c r="AC5" s="201">
        <f>IF((COLUMN()-2)=1,-Inputs!$C$30,0)</f>
        <v>0</v>
      </c>
      <c r="AD5" s="201">
        <f>IF((COLUMN()-2)=1,-Inputs!$C$30,0)</f>
        <v>0</v>
      </c>
      <c r="AE5" s="201">
        <f>IF((COLUMN()-2)=1,-Inputs!$C$30,0)</f>
        <v>0</v>
      </c>
      <c r="AF5" s="201">
        <f>IF((COLUMN()-2)=1,-Inputs!$C$30,0)</f>
        <v>0</v>
      </c>
      <c r="AG5" s="202" cm="1">
        <f t="array" ref="AG5">SUMPRODUCT((YEAR($C$4:$AF$4)=AG$4)*$C5:$AF5)</f>
        <v>-525000</v>
      </c>
      <c r="AH5" s="202" cm="1">
        <f t="array" ref="AH5">SUMPRODUCT((YEAR($C$4:$AF$4)=AH$4)*$C5:$AF5)</f>
        <v>0</v>
      </c>
      <c r="AI5" s="202" cm="1">
        <f t="array" ref="AI5">SUMPRODUCT((YEAR($C$4:$AF$4)=AI$4)*$C5:$AF5)</f>
        <v>0</v>
      </c>
      <c r="AJ5" s="202" cm="1">
        <f t="array" ref="AJ5">SUMPRODUCT((YEAR($C$4:$AF$4)=AJ$4)*$C5:$AF5)</f>
        <v>0</v>
      </c>
      <c r="AK5" s="202">
        <f>SUM($C5:$AF5)</f>
        <v>-525000</v>
      </c>
    </row>
    <row r="6" spans="1:37" x14ac:dyDescent="0.25">
      <c r="A6" s="200"/>
      <c r="B6" s="200" t="s">
        <v>243</v>
      </c>
      <c r="C6" s="201">
        <f>IF(AND((COLUMN()-2)=1,Inputs!$C$18=1),-Inputs!$C$31,0)</f>
        <v>0</v>
      </c>
      <c r="D6" s="201">
        <f>IF(AND((COLUMN()-2)=1,Inputs!$C$18=1),-Inputs!$C$31,0)</f>
        <v>0</v>
      </c>
      <c r="E6" s="201">
        <f>IF(AND((COLUMN()-2)=1,Inputs!$C$18=1),-Inputs!$C$31,0)</f>
        <v>0</v>
      </c>
      <c r="F6" s="201">
        <f>IF(AND((COLUMN()-2)=1,Inputs!$C$18=1),-Inputs!$C$31,0)</f>
        <v>0</v>
      </c>
      <c r="G6" s="201">
        <f>IF(AND((COLUMN()-2)=1,Inputs!$C$18=1),-Inputs!$C$31,0)</f>
        <v>0</v>
      </c>
      <c r="H6" s="201">
        <f>IF(AND((COLUMN()-2)=1,Inputs!$C$18=1),-Inputs!$C$31,0)</f>
        <v>0</v>
      </c>
      <c r="I6" s="201">
        <f>IF(AND((COLUMN()-2)=1,Inputs!$C$18=1),-Inputs!$C$31,0)</f>
        <v>0</v>
      </c>
      <c r="J6" s="201">
        <f>IF(AND((COLUMN()-2)=1,Inputs!$C$18=1),-Inputs!$C$31,0)</f>
        <v>0</v>
      </c>
      <c r="K6" s="201">
        <f>IF(AND((COLUMN()-2)=1,Inputs!$C$18=1),-Inputs!$C$31,0)</f>
        <v>0</v>
      </c>
      <c r="L6" s="201">
        <f>IF(AND((COLUMN()-2)=1,Inputs!$C$18=1),-Inputs!$C$31,0)</f>
        <v>0</v>
      </c>
      <c r="M6" s="201">
        <f>IF(AND((COLUMN()-2)=1,Inputs!$C$18=1),-Inputs!$C$31,0)</f>
        <v>0</v>
      </c>
      <c r="N6" s="201">
        <f>IF(AND((COLUMN()-2)=1,Inputs!$C$18=1),-Inputs!$C$31,0)</f>
        <v>0</v>
      </c>
      <c r="O6" s="201">
        <f>IF(AND((COLUMN()-2)=1,Inputs!$C$18=1),-Inputs!$C$31,0)</f>
        <v>0</v>
      </c>
      <c r="P6" s="201">
        <f>IF(AND((COLUMN()-2)=1,Inputs!$C$18=1),-Inputs!$C$31,0)</f>
        <v>0</v>
      </c>
      <c r="Q6" s="201">
        <f>IF(AND((COLUMN()-2)=1,Inputs!$C$18=1),-Inputs!$C$31,0)</f>
        <v>0</v>
      </c>
      <c r="R6" s="201">
        <f>IF(AND((COLUMN()-2)=1,Inputs!$C$18=1),-Inputs!$C$31,0)</f>
        <v>0</v>
      </c>
      <c r="S6" s="201">
        <f>IF(AND((COLUMN()-2)=1,Inputs!$C$18=1),-Inputs!$C$31,0)</f>
        <v>0</v>
      </c>
      <c r="T6" s="201">
        <f>IF(AND((COLUMN()-2)=1,Inputs!$C$18=1),-Inputs!$C$31,0)</f>
        <v>0</v>
      </c>
      <c r="U6" s="201">
        <f>IF(AND((COLUMN()-2)=1,Inputs!$C$18=1),-Inputs!$C$31,0)</f>
        <v>0</v>
      </c>
      <c r="V6" s="201">
        <f>IF(AND((COLUMN()-2)=1,Inputs!$C$18=1),-Inputs!$C$31,0)</f>
        <v>0</v>
      </c>
      <c r="W6" s="201">
        <f>IF(AND((COLUMN()-2)=1,Inputs!$C$18=1),-Inputs!$C$31,0)</f>
        <v>0</v>
      </c>
      <c r="X6" s="201">
        <f>IF(AND((COLUMN()-2)=1,Inputs!$C$18=1),-Inputs!$C$31,0)</f>
        <v>0</v>
      </c>
      <c r="Y6" s="201">
        <f>IF(AND((COLUMN()-2)=1,Inputs!$C$18=1),-Inputs!$C$31,0)</f>
        <v>0</v>
      </c>
      <c r="Z6" s="201">
        <f>IF(AND((COLUMN()-2)=1,Inputs!$C$18=1),-Inputs!$C$31,0)</f>
        <v>0</v>
      </c>
      <c r="AA6" s="201">
        <f>IF(AND((COLUMN()-2)=1,Inputs!$C$18=1),-Inputs!$C$31,0)</f>
        <v>0</v>
      </c>
      <c r="AB6" s="201">
        <f>IF(AND((COLUMN()-2)=1,Inputs!$C$18=1),-Inputs!$C$31,0)</f>
        <v>0</v>
      </c>
      <c r="AC6" s="201">
        <f>IF(AND((COLUMN()-2)=1,Inputs!$C$18=1),-Inputs!$C$31,0)</f>
        <v>0</v>
      </c>
      <c r="AD6" s="201">
        <f>IF(AND((COLUMN()-2)=1,Inputs!$C$18=1),-Inputs!$C$31,0)</f>
        <v>0</v>
      </c>
      <c r="AE6" s="201">
        <f>IF(AND((COLUMN()-2)=1,Inputs!$C$18=1),-Inputs!$C$31,0)</f>
        <v>0</v>
      </c>
      <c r="AF6" s="201">
        <f>IF(AND((COLUMN()-2)=1,Inputs!$C$18=1),-Inputs!$C$31,0)</f>
        <v>0</v>
      </c>
      <c r="AG6" s="202" cm="1">
        <f t="array" ref="AG6">SUMPRODUCT((YEAR($C$4:$AF$4)=AG$4)*$C6:$AF6)</f>
        <v>0</v>
      </c>
      <c r="AH6" s="202" cm="1">
        <f t="array" ref="AH6">SUMPRODUCT((YEAR($C$4:$AF$4)=AH$4)*$C6:$AF6)</f>
        <v>0</v>
      </c>
      <c r="AI6" s="202" cm="1">
        <f t="array" ref="AI6">SUMPRODUCT((YEAR($C$4:$AF$4)=AI$4)*$C6:$AF6)</f>
        <v>0</v>
      </c>
      <c r="AJ6" s="202" cm="1">
        <f t="array" ref="AJ6">SUMPRODUCT((YEAR($C$4:$AF$4)=AJ$4)*$C6:$AF6)</f>
        <v>0</v>
      </c>
      <c r="AK6" s="202">
        <f t="shared" ref="AK6:AK24" si="1">SUM($C6:$AF6)</f>
        <v>0</v>
      </c>
    </row>
    <row r="7" spans="1:37" x14ac:dyDescent="0.25">
      <c r="A7" s="200"/>
      <c r="B7" s="200" t="s">
        <v>65</v>
      </c>
      <c r="C7" s="201">
        <f>IF((COLUMN()-2)&lt;=(Inputs!$C$33-1),-Inputs!$C$29/(Inputs!$C$33-1),0)</f>
        <v>-1312.5</v>
      </c>
      <c r="D7" s="201">
        <f>IF((COLUMN()-2)&lt;=(Inputs!$C$33-1),-Inputs!$C$29/(Inputs!$C$33-1),0)</f>
        <v>-1312.5</v>
      </c>
      <c r="E7" s="201">
        <f>IF((COLUMN()-2)&lt;=(Inputs!$C$33-1),-Inputs!$C$29/(Inputs!$C$33-1),0)</f>
        <v>-1312.5</v>
      </c>
      <c r="F7" s="201">
        <f>IF((COLUMN()-2)&lt;=(Inputs!$C$33-1),-Inputs!$C$29/(Inputs!$C$33-1),0)</f>
        <v>-1312.5</v>
      </c>
      <c r="G7" s="201">
        <f>IF((COLUMN()-2)&lt;=(Inputs!$C$33-1),-Inputs!$C$29/(Inputs!$C$33-1),0)</f>
        <v>-1312.5</v>
      </c>
      <c r="H7" s="201">
        <f>IF((COLUMN()-2)&lt;=(Inputs!$C$33-1),-Inputs!$C$29/(Inputs!$C$33-1),0)</f>
        <v>-1312.5</v>
      </c>
      <c r="I7" s="201">
        <f>IF((COLUMN()-2)&lt;=(Inputs!$C$33-1),-Inputs!$C$29/(Inputs!$C$33-1),0)</f>
        <v>0</v>
      </c>
      <c r="J7" s="201">
        <f>IF((COLUMN()-2)&lt;=(Inputs!$C$33-1),-Inputs!$C$29/(Inputs!$C$33-1),0)</f>
        <v>0</v>
      </c>
      <c r="K7" s="201">
        <f>IF((COLUMN()-2)&lt;=(Inputs!$C$33-1),-Inputs!$C$29/(Inputs!$C$33-1),0)</f>
        <v>0</v>
      </c>
      <c r="L7" s="201">
        <f>IF((COLUMN()-2)&lt;=(Inputs!$C$33-1),-Inputs!$C$29/(Inputs!$C$33-1),0)</f>
        <v>0</v>
      </c>
      <c r="M7" s="201">
        <f>IF((COLUMN()-2)&lt;=(Inputs!$C$33-1),-Inputs!$C$29/(Inputs!$C$33-1),0)</f>
        <v>0</v>
      </c>
      <c r="N7" s="201">
        <f>IF((COLUMN()-2)&lt;=(Inputs!$C$33-1),-Inputs!$C$29/(Inputs!$C$33-1),0)</f>
        <v>0</v>
      </c>
      <c r="O7" s="201">
        <f>IF((COLUMN()-2)&lt;=(Inputs!$C$33-1),-Inputs!$C$29/(Inputs!$C$33-1),0)</f>
        <v>0</v>
      </c>
      <c r="P7" s="201">
        <f>IF((COLUMN()-2)&lt;=(Inputs!$C$33-1),-Inputs!$C$29/(Inputs!$C$33-1),0)</f>
        <v>0</v>
      </c>
      <c r="Q7" s="201">
        <f>IF((COLUMN()-2)&lt;=(Inputs!$C$33-1),-Inputs!$C$29/(Inputs!$C$33-1),0)</f>
        <v>0</v>
      </c>
      <c r="R7" s="201">
        <f>IF((COLUMN()-2)&lt;=(Inputs!$C$33-1),-Inputs!$C$29/(Inputs!$C$33-1),0)</f>
        <v>0</v>
      </c>
      <c r="S7" s="201">
        <f>IF((COLUMN()-2)&lt;=(Inputs!$C$33-1),-Inputs!$C$29/(Inputs!$C$33-1),0)</f>
        <v>0</v>
      </c>
      <c r="T7" s="201">
        <f>IF((COLUMN()-2)&lt;=(Inputs!$C$33-1),-Inputs!$C$29/(Inputs!$C$33-1),0)</f>
        <v>0</v>
      </c>
      <c r="U7" s="201">
        <f>IF((COLUMN()-2)&lt;=(Inputs!$C$33-1),-Inputs!$C$29/(Inputs!$C$33-1),0)</f>
        <v>0</v>
      </c>
      <c r="V7" s="201">
        <f>IF((COLUMN()-2)&lt;=(Inputs!$C$33-1),-Inputs!$C$29/(Inputs!$C$33-1),0)</f>
        <v>0</v>
      </c>
      <c r="W7" s="201">
        <f>IF((COLUMN()-2)&lt;=(Inputs!$C$33-1),-Inputs!$C$29/(Inputs!$C$33-1),0)</f>
        <v>0</v>
      </c>
      <c r="X7" s="201">
        <f>IF((COLUMN()-2)&lt;=(Inputs!$C$33-1),-Inputs!$C$29/(Inputs!$C$33-1),0)</f>
        <v>0</v>
      </c>
      <c r="Y7" s="201">
        <f>IF((COLUMN()-2)&lt;=(Inputs!$C$33-1),-Inputs!$C$29/(Inputs!$C$33-1),0)</f>
        <v>0</v>
      </c>
      <c r="Z7" s="201">
        <f>IF((COLUMN()-2)&lt;=(Inputs!$C$33-1),-Inputs!$C$29/(Inputs!$C$33-1),0)</f>
        <v>0</v>
      </c>
      <c r="AA7" s="201">
        <f>IF((COLUMN()-2)&lt;=(Inputs!$C$33-1),-Inputs!$C$29/(Inputs!$C$33-1),0)</f>
        <v>0</v>
      </c>
      <c r="AB7" s="201">
        <f>IF((COLUMN()-2)&lt;=(Inputs!$C$33-1),-Inputs!$C$29/(Inputs!$C$33-1),0)</f>
        <v>0</v>
      </c>
      <c r="AC7" s="201">
        <f>IF((COLUMN()-2)&lt;=(Inputs!$C$33-1),-Inputs!$C$29/(Inputs!$C$33-1),0)</f>
        <v>0</v>
      </c>
      <c r="AD7" s="201">
        <f>IF((COLUMN()-2)&lt;=(Inputs!$C$33-1),-Inputs!$C$29/(Inputs!$C$33-1),0)</f>
        <v>0</v>
      </c>
      <c r="AE7" s="201">
        <f>IF((COLUMN()-2)&lt;=(Inputs!$C$33-1),-Inputs!$C$29/(Inputs!$C$33-1),0)</f>
        <v>0</v>
      </c>
      <c r="AF7" s="201">
        <f>IF((COLUMN()-2)&lt;=(Inputs!$C$33-1),-Inputs!$C$29/(Inputs!$C$33-1),0)</f>
        <v>0</v>
      </c>
      <c r="AG7" s="202" cm="1">
        <f t="array" ref="AG7">SUMPRODUCT((YEAR($C$4:$AF$4)=AG$4)*$C7:$AF7)</f>
        <v>-7875</v>
      </c>
      <c r="AH7" s="202" cm="1">
        <f t="array" ref="AH7">SUMPRODUCT((YEAR($C$4:$AF$4)=AH$4)*$C7:$AF7)</f>
        <v>0</v>
      </c>
      <c r="AI7" s="202" cm="1">
        <f t="array" ref="AI7">SUMPRODUCT((YEAR($C$4:$AF$4)=AI$4)*$C7:$AF7)</f>
        <v>0</v>
      </c>
      <c r="AJ7" s="202" cm="1">
        <f t="array" ref="AJ7">SUMPRODUCT((YEAR($C$4:$AF$4)=AJ$4)*$C7:$AF7)</f>
        <v>0</v>
      </c>
      <c r="AK7" s="202">
        <f t="shared" si="1"/>
        <v>-7875</v>
      </c>
    </row>
    <row r="8" spans="1:37" x14ac:dyDescent="0.25">
      <c r="A8" s="203"/>
      <c r="B8" s="203" t="s">
        <v>244</v>
      </c>
      <c r="C8" s="204">
        <f>SUM(C5:C7)</f>
        <v>-526312.5</v>
      </c>
      <c r="D8" s="204">
        <f t="shared" ref="D8:AF8" si="2">SUM(D5:D7)</f>
        <v>-1312.5</v>
      </c>
      <c r="E8" s="204">
        <f t="shared" si="2"/>
        <v>-1312.5</v>
      </c>
      <c r="F8" s="204">
        <f t="shared" si="2"/>
        <v>-1312.5</v>
      </c>
      <c r="G8" s="204">
        <f t="shared" si="2"/>
        <v>-1312.5</v>
      </c>
      <c r="H8" s="204">
        <f t="shared" si="2"/>
        <v>-1312.5</v>
      </c>
      <c r="I8" s="204">
        <f t="shared" si="2"/>
        <v>0</v>
      </c>
      <c r="J8" s="204">
        <f t="shared" si="2"/>
        <v>0</v>
      </c>
      <c r="K8" s="204">
        <f t="shared" si="2"/>
        <v>0</v>
      </c>
      <c r="L8" s="204">
        <f t="shared" si="2"/>
        <v>0</v>
      </c>
      <c r="M8" s="204">
        <f t="shared" si="2"/>
        <v>0</v>
      </c>
      <c r="N8" s="204">
        <f t="shared" si="2"/>
        <v>0</v>
      </c>
      <c r="O8" s="204">
        <f t="shared" si="2"/>
        <v>0</v>
      </c>
      <c r="P8" s="204">
        <f t="shared" si="2"/>
        <v>0</v>
      </c>
      <c r="Q8" s="204">
        <f t="shared" si="2"/>
        <v>0</v>
      </c>
      <c r="R8" s="204">
        <f t="shared" si="2"/>
        <v>0</v>
      </c>
      <c r="S8" s="204">
        <f t="shared" si="2"/>
        <v>0</v>
      </c>
      <c r="T8" s="204">
        <f t="shared" si="2"/>
        <v>0</v>
      </c>
      <c r="U8" s="204">
        <f t="shared" si="2"/>
        <v>0</v>
      </c>
      <c r="V8" s="204">
        <f t="shared" si="2"/>
        <v>0</v>
      </c>
      <c r="W8" s="204">
        <f t="shared" si="2"/>
        <v>0</v>
      </c>
      <c r="X8" s="204">
        <f t="shared" si="2"/>
        <v>0</v>
      </c>
      <c r="Y8" s="204">
        <f t="shared" si="2"/>
        <v>0</v>
      </c>
      <c r="Z8" s="204">
        <f t="shared" si="2"/>
        <v>0</v>
      </c>
      <c r="AA8" s="204">
        <f t="shared" si="2"/>
        <v>0</v>
      </c>
      <c r="AB8" s="204">
        <f t="shared" si="2"/>
        <v>0</v>
      </c>
      <c r="AC8" s="204">
        <f t="shared" si="2"/>
        <v>0</v>
      </c>
      <c r="AD8" s="204">
        <f t="shared" si="2"/>
        <v>0</v>
      </c>
      <c r="AE8" s="204">
        <f t="shared" si="2"/>
        <v>0</v>
      </c>
      <c r="AF8" s="204">
        <f t="shared" si="2"/>
        <v>0</v>
      </c>
      <c r="AG8" s="204" cm="1">
        <f t="array" ref="AG8">SUMPRODUCT((YEAR($C$4:$AF$4)=AG$4)*$C8:$AF8)</f>
        <v>-532875</v>
      </c>
      <c r="AH8" s="204" cm="1">
        <f t="array" ref="AH8">SUMPRODUCT((YEAR($C$4:$AF$4)=AH$4)*$C8:$AF8)</f>
        <v>0</v>
      </c>
      <c r="AI8" s="204" cm="1">
        <f t="array" ref="AI8">SUMPRODUCT((YEAR($C$4:$AF$4)=AI$4)*$C8:$AF8)</f>
        <v>0</v>
      </c>
      <c r="AJ8" s="204" cm="1">
        <f t="array" ref="AJ8">SUMPRODUCT((YEAR($C$4:$AF$4)=AJ$4)*$C8:$AF8)</f>
        <v>0</v>
      </c>
      <c r="AK8" s="204">
        <f t="shared" si="1"/>
        <v>-532875</v>
      </c>
    </row>
    <row r="9" spans="1:37" x14ac:dyDescent="0.25">
      <c r="A9" s="199" t="s">
        <v>245</v>
      </c>
      <c r="B9" s="200" t="s">
        <v>61</v>
      </c>
      <c r="C9" s="201">
        <f>IF((COLUMN()-2)&lt;=(Inputs!$C$33-1),-0.3*Inputs!$C$27/(Inputs!$C$33-1),0)+IF(AND((COLUMN()-2)&gt;=Inputs!$C$33,(COLUMN()-2)&lt;=Inputs!$C$34),-0.7*Inputs!$C$27/(Inputs!$C$34-Inputs!$C$33+1),0)</f>
        <v>-11078.349999999999</v>
      </c>
      <c r="D9" s="201">
        <f>IF((COLUMN()-2)&lt;=(Inputs!$C$33-1),-0.3*Inputs!$C$27/(Inputs!$C$33-1),0)+IF(AND((COLUMN()-2)&gt;=Inputs!$C$33,(COLUMN()-2)&lt;=Inputs!$C$34),-0.7*Inputs!$C$27/(Inputs!$C$34-Inputs!$C$33+1),0)</f>
        <v>-11078.349999999999</v>
      </c>
      <c r="E9" s="201">
        <f>IF((COLUMN()-2)&lt;=(Inputs!$C$33-1),-0.3*Inputs!$C$27/(Inputs!$C$33-1),0)+IF(AND((COLUMN()-2)&gt;=Inputs!$C$33,(COLUMN()-2)&lt;=Inputs!$C$34),-0.7*Inputs!$C$27/(Inputs!$C$34-Inputs!$C$33+1),0)</f>
        <v>-11078.349999999999</v>
      </c>
      <c r="F9" s="201">
        <f>IF((COLUMN()-2)&lt;=(Inputs!$C$33-1),-0.3*Inputs!$C$27/(Inputs!$C$33-1),0)+IF(AND((COLUMN()-2)&gt;=Inputs!$C$33,(COLUMN()-2)&lt;=Inputs!$C$34),-0.7*Inputs!$C$27/(Inputs!$C$34-Inputs!$C$33+1),0)</f>
        <v>-11078.349999999999</v>
      </c>
      <c r="G9" s="201">
        <f>IF((COLUMN()-2)&lt;=(Inputs!$C$33-1),-0.3*Inputs!$C$27/(Inputs!$C$33-1),0)+IF(AND((COLUMN()-2)&gt;=Inputs!$C$33,(COLUMN()-2)&lt;=Inputs!$C$34),-0.7*Inputs!$C$27/(Inputs!$C$34-Inputs!$C$33+1),0)</f>
        <v>-11078.349999999999</v>
      </c>
      <c r="H9" s="201">
        <f>IF((COLUMN()-2)&lt;=(Inputs!$C$33-1),-0.3*Inputs!$C$27/(Inputs!$C$33-1),0)+IF(AND((COLUMN()-2)&gt;=Inputs!$C$33,(COLUMN()-2)&lt;=Inputs!$C$34),-0.7*Inputs!$C$27/(Inputs!$C$34-Inputs!$C$33+1),0)</f>
        <v>-11078.349999999999</v>
      </c>
      <c r="I9" s="201">
        <f>IF((COLUMN()-2)&lt;=(Inputs!$C$33-1),-0.3*Inputs!$C$27/(Inputs!$C$33-1),0)+IF(AND((COLUMN()-2)&gt;=Inputs!$C$33,(COLUMN()-2)&lt;=Inputs!$C$34),-0.7*Inputs!$C$27/(Inputs!$C$34-Inputs!$C$33+1),0)</f>
        <v>-7385.5666666666666</v>
      </c>
      <c r="J9" s="201">
        <f>IF((COLUMN()-2)&lt;=(Inputs!$C$33-1),-0.3*Inputs!$C$27/(Inputs!$C$33-1),0)+IF(AND((COLUMN()-2)&gt;=Inputs!$C$33,(COLUMN()-2)&lt;=Inputs!$C$34),-0.7*Inputs!$C$27/(Inputs!$C$34-Inputs!$C$33+1),0)</f>
        <v>-7385.5666666666666</v>
      </c>
      <c r="K9" s="201">
        <f>IF((COLUMN()-2)&lt;=(Inputs!$C$33-1),-0.3*Inputs!$C$27/(Inputs!$C$33-1),0)+IF(AND((COLUMN()-2)&gt;=Inputs!$C$33,(COLUMN()-2)&lt;=Inputs!$C$34),-0.7*Inputs!$C$27/(Inputs!$C$34-Inputs!$C$33+1),0)</f>
        <v>-7385.5666666666666</v>
      </c>
      <c r="L9" s="201">
        <f>IF((COLUMN()-2)&lt;=(Inputs!$C$33-1),-0.3*Inputs!$C$27/(Inputs!$C$33-1),0)+IF(AND((COLUMN()-2)&gt;=Inputs!$C$33,(COLUMN()-2)&lt;=Inputs!$C$34),-0.7*Inputs!$C$27/(Inputs!$C$34-Inputs!$C$33+1),0)</f>
        <v>-7385.5666666666666</v>
      </c>
      <c r="M9" s="201">
        <f>IF((COLUMN()-2)&lt;=(Inputs!$C$33-1),-0.3*Inputs!$C$27/(Inputs!$C$33-1),0)+IF(AND((COLUMN()-2)&gt;=Inputs!$C$33,(COLUMN()-2)&lt;=Inputs!$C$34),-0.7*Inputs!$C$27/(Inputs!$C$34-Inputs!$C$33+1),0)</f>
        <v>-7385.5666666666666</v>
      </c>
      <c r="N9" s="201">
        <f>IF((COLUMN()-2)&lt;=(Inputs!$C$33-1),-0.3*Inputs!$C$27/(Inputs!$C$33-1),0)+IF(AND((COLUMN()-2)&gt;=Inputs!$C$33,(COLUMN()-2)&lt;=Inputs!$C$34),-0.7*Inputs!$C$27/(Inputs!$C$34-Inputs!$C$33+1),0)</f>
        <v>-7385.5666666666666</v>
      </c>
      <c r="O9" s="201">
        <f>IF((COLUMN()-2)&lt;=(Inputs!$C$33-1),-0.3*Inputs!$C$27/(Inputs!$C$33-1),0)+IF(AND((COLUMN()-2)&gt;=Inputs!$C$33,(COLUMN()-2)&lt;=Inputs!$C$34),-0.7*Inputs!$C$27/(Inputs!$C$34-Inputs!$C$33+1),0)</f>
        <v>-7385.5666666666666</v>
      </c>
      <c r="P9" s="201">
        <f>IF((COLUMN()-2)&lt;=(Inputs!$C$33-1),-0.3*Inputs!$C$27/(Inputs!$C$33-1),0)+IF(AND((COLUMN()-2)&gt;=Inputs!$C$33,(COLUMN()-2)&lt;=Inputs!$C$34),-0.7*Inputs!$C$27/(Inputs!$C$34-Inputs!$C$33+1),0)</f>
        <v>-7385.5666666666666</v>
      </c>
      <c r="Q9" s="201">
        <f>IF((COLUMN()-2)&lt;=(Inputs!$C$33-1),-0.3*Inputs!$C$27/(Inputs!$C$33-1),0)+IF(AND((COLUMN()-2)&gt;=Inputs!$C$33,(COLUMN()-2)&lt;=Inputs!$C$34),-0.7*Inputs!$C$27/(Inputs!$C$34-Inputs!$C$33+1),0)</f>
        <v>-7385.5666666666666</v>
      </c>
      <c r="R9" s="201">
        <f>IF((COLUMN()-2)&lt;=(Inputs!$C$33-1),-0.3*Inputs!$C$27/(Inputs!$C$33-1),0)+IF(AND((COLUMN()-2)&gt;=Inputs!$C$33,(COLUMN()-2)&lt;=Inputs!$C$34),-0.7*Inputs!$C$27/(Inputs!$C$34-Inputs!$C$33+1),0)</f>
        <v>-7385.5666666666666</v>
      </c>
      <c r="S9" s="201">
        <f>IF((COLUMN()-2)&lt;=(Inputs!$C$33-1),-0.3*Inputs!$C$27/(Inputs!$C$33-1),0)+IF(AND((COLUMN()-2)&gt;=Inputs!$C$33,(COLUMN()-2)&lt;=Inputs!$C$34),-0.7*Inputs!$C$27/(Inputs!$C$34-Inputs!$C$33+1),0)</f>
        <v>-7385.5666666666666</v>
      </c>
      <c r="T9" s="201">
        <f>IF((COLUMN()-2)&lt;=(Inputs!$C$33-1),-0.3*Inputs!$C$27/(Inputs!$C$33-1),0)+IF(AND((COLUMN()-2)&gt;=Inputs!$C$33,(COLUMN()-2)&lt;=Inputs!$C$34),-0.7*Inputs!$C$27/(Inputs!$C$34-Inputs!$C$33+1),0)</f>
        <v>-7385.5666666666666</v>
      </c>
      <c r="U9" s="201">
        <f>IF((COLUMN()-2)&lt;=(Inputs!$C$33-1),-0.3*Inputs!$C$27/(Inputs!$C$33-1),0)+IF(AND((COLUMN()-2)&gt;=Inputs!$C$33,(COLUMN()-2)&lt;=Inputs!$C$34),-0.7*Inputs!$C$27/(Inputs!$C$34-Inputs!$C$33+1),0)</f>
        <v>-7385.5666666666666</v>
      </c>
      <c r="V9" s="201">
        <f>IF((COLUMN()-2)&lt;=(Inputs!$C$33-1),-0.3*Inputs!$C$27/(Inputs!$C$33-1),0)+IF(AND((COLUMN()-2)&gt;=Inputs!$C$33,(COLUMN()-2)&lt;=Inputs!$C$34),-0.7*Inputs!$C$27/(Inputs!$C$34-Inputs!$C$33+1),0)</f>
        <v>-7385.5666666666666</v>
      </c>
      <c r="W9" s="201">
        <f>IF((COLUMN()-2)&lt;=(Inputs!$C$33-1),-0.3*Inputs!$C$27/(Inputs!$C$33-1),0)+IF(AND((COLUMN()-2)&gt;=Inputs!$C$33,(COLUMN()-2)&lt;=Inputs!$C$34),-0.7*Inputs!$C$27/(Inputs!$C$34-Inputs!$C$33+1),0)</f>
        <v>-7385.5666666666666</v>
      </c>
      <c r="X9" s="201">
        <f>IF((COLUMN()-2)&lt;=(Inputs!$C$33-1),-0.3*Inputs!$C$27/(Inputs!$C$33-1),0)+IF(AND((COLUMN()-2)&gt;=Inputs!$C$33,(COLUMN()-2)&lt;=Inputs!$C$34),-0.7*Inputs!$C$27/(Inputs!$C$34-Inputs!$C$33+1),0)</f>
        <v>-7385.5666666666666</v>
      </c>
      <c r="Y9" s="201">
        <f>IF((COLUMN()-2)&lt;=(Inputs!$C$33-1),-0.3*Inputs!$C$27/(Inputs!$C$33-1),0)+IF(AND((COLUMN()-2)&gt;=Inputs!$C$33,(COLUMN()-2)&lt;=Inputs!$C$34),-0.7*Inputs!$C$27/(Inputs!$C$34-Inputs!$C$33+1),0)</f>
        <v>-7385.5666666666666</v>
      </c>
      <c r="Z9" s="201">
        <f>IF((COLUMN()-2)&lt;=(Inputs!$C$33-1),-0.3*Inputs!$C$27/(Inputs!$C$33-1),0)+IF(AND((COLUMN()-2)&gt;=Inputs!$C$33,(COLUMN()-2)&lt;=Inputs!$C$34),-0.7*Inputs!$C$27/(Inputs!$C$34-Inputs!$C$33+1),0)</f>
        <v>-7385.5666666666666</v>
      </c>
      <c r="AA9" s="201">
        <f>IF((COLUMN()-2)&lt;=(Inputs!$C$33-1),-0.3*Inputs!$C$27/(Inputs!$C$33-1),0)+IF(AND((COLUMN()-2)&gt;=Inputs!$C$33,(COLUMN()-2)&lt;=Inputs!$C$34),-0.7*Inputs!$C$27/(Inputs!$C$34-Inputs!$C$33+1),0)</f>
        <v>-7385.5666666666666</v>
      </c>
      <c r="AB9" s="201">
        <f>IF((COLUMN()-2)&lt;=(Inputs!$C$33-1),-0.3*Inputs!$C$27/(Inputs!$C$33-1),0)+IF(AND((COLUMN()-2)&gt;=Inputs!$C$33,(COLUMN()-2)&lt;=Inputs!$C$34),-0.7*Inputs!$C$27/(Inputs!$C$34-Inputs!$C$33+1),0)</f>
        <v>-7385.5666666666666</v>
      </c>
      <c r="AC9" s="201">
        <f>IF((COLUMN()-2)&lt;=(Inputs!$C$33-1),-0.3*Inputs!$C$27/(Inputs!$C$33-1),0)+IF(AND((COLUMN()-2)&gt;=Inputs!$C$33,(COLUMN()-2)&lt;=Inputs!$C$34),-0.7*Inputs!$C$27/(Inputs!$C$34-Inputs!$C$33+1),0)</f>
        <v>-7385.5666666666666</v>
      </c>
      <c r="AD9" s="201">
        <f>IF((COLUMN()-2)&lt;=(Inputs!$C$33-1),-0.3*Inputs!$C$27/(Inputs!$C$33-1),0)+IF(AND((COLUMN()-2)&gt;=Inputs!$C$33,(COLUMN()-2)&lt;=Inputs!$C$34),-0.7*Inputs!$C$27/(Inputs!$C$34-Inputs!$C$33+1),0)</f>
        <v>0</v>
      </c>
      <c r="AE9" s="201">
        <f>IF((COLUMN()-2)&lt;=(Inputs!$C$33-1),-0.3*Inputs!$C$27/(Inputs!$C$33-1),0)+IF(AND((COLUMN()-2)&gt;=Inputs!$C$33,(COLUMN()-2)&lt;=Inputs!$C$34),-0.7*Inputs!$C$27/(Inputs!$C$34-Inputs!$C$33+1),0)</f>
        <v>0</v>
      </c>
      <c r="AF9" s="201">
        <f>IF((COLUMN()-2)&lt;=(Inputs!$C$33-1),-0.3*Inputs!$C$27/(Inputs!$C$33-1),0)+IF(AND((COLUMN()-2)&gt;=Inputs!$C$33,(COLUMN()-2)&lt;=Inputs!$C$34),-0.7*Inputs!$C$27/(Inputs!$C$34-Inputs!$C$33+1),0)</f>
        <v>0</v>
      </c>
      <c r="AG9" s="202" cm="1">
        <f t="array" ref="AG9">SUMPRODUCT((YEAR($C$4:$AF$4)=AG$4)*$C9:$AF9)</f>
        <v>-66470.099999999991</v>
      </c>
      <c r="AH9" s="202" cm="1">
        <f t="array" ref="AH9">SUMPRODUCT((YEAR($C$4:$AF$4)=AH$4)*$C9:$AF9)</f>
        <v>-88626.8</v>
      </c>
      <c r="AI9" s="202" cm="1">
        <f t="array" ref="AI9">SUMPRODUCT((YEAR($C$4:$AF$4)=AI$4)*$C9:$AF9)</f>
        <v>-66470.100000000006</v>
      </c>
      <c r="AJ9" s="202" cm="1">
        <f t="array" ref="AJ9">SUMPRODUCT((YEAR($C$4:$AF$4)=AJ$4)*$C9:$AF9)</f>
        <v>0</v>
      </c>
      <c r="AK9" s="202">
        <f t="shared" si="1"/>
        <v>-221567.00000000015</v>
      </c>
    </row>
    <row r="10" spans="1:37" x14ac:dyDescent="0.25">
      <c r="A10" s="200"/>
      <c r="B10" s="200" t="s">
        <v>94</v>
      </c>
      <c r="C10" s="201">
        <f>IF(AND((COLUMN()-2)&gt;=Inputs!$C$33,(COLUMN()-2)&lt;=Inputs!$C$34),-Inputs!$C$50/(Inputs!$C$34-Inputs!$C$33+1),0)</f>
        <v>0</v>
      </c>
      <c r="D10" s="201">
        <f>IF(AND((COLUMN()-2)&gt;=Inputs!$C$33,(COLUMN()-2)&lt;=Inputs!$C$34),-Inputs!$C$50/(Inputs!$C$34-Inputs!$C$33+1),0)</f>
        <v>0</v>
      </c>
      <c r="E10" s="201">
        <f>IF(AND((COLUMN()-2)&gt;=Inputs!$C$33,(COLUMN()-2)&lt;=Inputs!$C$34),-Inputs!$C$50/(Inputs!$C$34-Inputs!$C$33+1),0)</f>
        <v>0</v>
      </c>
      <c r="F10" s="201">
        <f>IF(AND((COLUMN()-2)&gt;=Inputs!$C$33,(COLUMN()-2)&lt;=Inputs!$C$34),-Inputs!$C$50/(Inputs!$C$34-Inputs!$C$33+1),0)</f>
        <v>0</v>
      </c>
      <c r="G10" s="201">
        <f>IF(AND((COLUMN()-2)&gt;=Inputs!$C$33,(COLUMN()-2)&lt;=Inputs!$C$34),-Inputs!$C$50/(Inputs!$C$34-Inputs!$C$33+1),0)</f>
        <v>0</v>
      </c>
      <c r="H10" s="201">
        <f>IF(AND((COLUMN()-2)&gt;=Inputs!$C$33,(COLUMN()-2)&lt;=Inputs!$C$34),-Inputs!$C$50/(Inputs!$C$34-Inputs!$C$33+1),0)</f>
        <v>0</v>
      </c>
      <c r="I10" s="201">
        <f>IF(AND((COLUMN()-2)&gt;=Inputs!$C$33,(COLUMN()-2)&lt;=Inputs!$C$34),-Inputs!$C$50/(Inputs!$C$34-Inputs!$C$33+1),0)</f>
        <v>-3666.6666666666665</v>
      </c>
      <c r="J10" s="201">
        <f>IF(AND((COLUMN()-2)&gt;=Inputs!$C$33,(COLUMN()-2)&lt;=Inputs!$C$34),-Inputs!$C$50/(Inputs!$C$34-Inputs!$C$33+1),0)</f>
        <v>-3666.6666666666665</v>
      </c>
      <c r="K10" s="201">
        <f>IF(AND((COLUMN()-2)&gt;=Inputs!$C$33,(COLUMN()-2)&lt;=Inputs!$C$34),-Inputs!$C$50/(Inputs!$C$34-Inputs!$C$33+1),0)</f>
        <v>-3666.6666666666665</v>
      </c>
      <c r="L10" s="201">
        <f>IF(AND((COLUMN()-2)&gt;=Inputs!$C$33,(COLUMN()-2)&lt;=Inputs!$C$34),-Inputs!$C$50/(Inputs!$C$34-Inputs!$C$33+1),0)</f>
        <v>-3666.6666666666665</v>
      </c>
      <c r="M10" s="201">
        <f>IF(AND((COLUMN()-2)&gt;=Inputs!$C$33,(COLUMN()-2)&lt;=Inputs!$C$34),-Inputs!$C$50/(Inputs!$C$34-Inputs!$C$33+1),0)</f>
        <v>-3666.6666666666665</v>
      </c>
      <c r="N10" s="201">
        <f>IF(AND((COLUMN()-2)&gt;=Inputs!$C$33,(COLUMN()-2)&lt;=Inputs!$C$34),-Inputs!$C$50/(Inputs!$C$34-Inputs!$C$33+1),0)</f>
        <v>-3666.6666666666665</v>
      </c>
      <c r="O10" s="201">
        <f>IF(AND((COLUMN()-2)&gt;=Inputs!$C$33,(COLUMN()-2)&lt;=Inputs!$C$34),-Inputs!$C$50/(Inputs!$C$34-Inputs!$C$33+1),0)</f>
        <v>-3666.6666666666665</v>
      </c>
      <c r="P10" s="201">
        <f>IF(AND((COLUMN()-2)&gt;=Inputs!$C$33,(COLUMN()-2)&lt;=Inputs!$C$34),-Inputs!$C$50/(Inputs!$C$34-Inputs!$C$33+1),0)</f>
        <v>-3666.6666666666665</v>
      </c>
      <c r="Q10" s="201">
        <f>IF(AND((COLUMN()-2)&gt;=Inputs!$C$33,(COLUMN()-2)&lt;=Inputs!$C$34),-Inputs!$C$50/(Inputs!$C$34-Inputs!$C$33+1),0)</f>
        <v>-3666.6666666666665</v>
      </c>
      <c r="R10" s="201">
        <f>IF(AND((COLUMN()-2)&gt;=Inputs!$C$33,(COLUMN()-2)&lt;=Inputs!$C$34),-Inputs!$C$50/(Inputs!$C$34-Inputs!$C$33+1),0)</f>
        <v>-3666.6666666666665</v>
      </c>
      <c r="S10" s="201">
        <f>IF(AND((COLUMN()-2)&gt;=Inputs!$C$33,(COLUMN()-2)&lt;=Inputs!$C$34),-Inputs!$C$50/(Inputs!$C$34-Inputs!$C$33+1),0)</f>
        <v>-3666.6666666666665</v>
      </c>
      <c r="T10" s="201">
        <f>IF(AND((COLUMN()-2)&gt;=Inputs!$C$33,(COLUMN()-2)&lt;=Inputs!$C$34),-Inputs!$C$50/(Inputs!$C$34-Inputs!$C$33+1),0)</f>
        <v>-3666.6666666666665</v>
      </c>
      <c r="U10" s="201">
        <f>IF(AND((COLUMN()-2)&gt;=Inputs!$C$33,(COLUMN()-2)&lt;=Inputs!$C$34),-Inputs!$C$50/(Inputs!$C$34-Inputs!$C$33+1),0)</f>
        <v>-3666.6666666666665</v>
      </c>
      <c r="V10" s="201">
        <f>IF(AND((COLUMN()-2)&gt;=Inputs!$C$33,(COLUMN()-2)&lt;=Inputs!$C$34),-Inputs!$C$50/(Inputs!$C$34-Inputs!$C$33+1),0)</f>
        <v>-3666.6666666666665</v>
      </c>
      <c r="W10" s="201">
        <f>IF(AND((COLUMN()-2)&gt;=Inputs!$C$33,(COLUMN()-2)&lt;=Inputs!$C$34),-Inputs!$C$50/(Inputs!$C$34-Inputs!$C$33+1),0)</f>
        <v>-3666.6666666666665</v>
      </c>
      <c r="X10" s="201">
        <f>IF(AND((COLUMN()-2)&gt;=Inputs!$C$33,(COLUMN()-2)&lt;=Inputs!$C$34),-Inputs!$C$50/(Inputs!$C$34-Inputs!$C$33+1),0)</f>
        <v>-3666.6666666666665</v>
      </c>
      <c r="Y10" s="201">
        <f>IF(AND((COLUMN()-2)&gt;=Inputs!$C$33,(COLUMN()-2)&lt;=Inputs!$C$34),-Inputs!$C$50/(Inputs!$C$34-Inputs!$C$33+1),0)</f>
        <v>-3666.6666666666665</v>
      </c>
      <c r="Z10" s="201">
        <f>IF(AND((COLUMN()-2)&gt;=Inputs!$C$33,(COLUMN()-2)&lt;=Inputs!$C$34),-Inputs!$C$50/(Inputs!$C$34-Inputs!$C$33+1),0)</f>
        <v>-3666.6666666666665</v>
      </c>
      <c r="AA10" s="201">
        <f>IF(AND((COLUMN()-2)&gt;=Inputs!$C$33,(COLUMN()-2)&lt;=Inputs!$C$34),-Inputs!$C$50/(Inputs!$C$34-Inputs!$C$33+1),0)</f>
        <v>-3666.6666666666665</v>
      </c>
      <c r="AB10" s="201">
        <f>IF(AND((COLUMN()-2)&gt;=Inputs!$C$33,(COLUMN()-2)&lt;=Inputs!$C$34),-Inputs!$C$50/(Inputs!$C$34-Inputs!$C$33+1),0)</f>
        <v>-3666.6666666666665</v>
      </c>
      <c r="AC10" s="201">
        <f>IF(AND((COLUMN()-2)&gt;=Inputs!$C$33,(COLUMN()-2)&lt;=Inputs!$C$34),-Inputs!$C$50/(Inputs!$C$34-Inputs!$C$33+1),0)</f>
        <v>-3666.6666666666665</v>
      </c>
      <c r="AD10" s="201">
        <f>IF(AND((COLUMN()-2)&gt;=Inputs!$C$33,(COLUMN()-2)&lt;=Inputs!$C$34),-Inputs!$C$50/(Inputs!$C$34-Inputs!$C$33+1),0)</f>
        <v>0</v>
      </c>
      <c r="AE10" s="201">
        <f>IF(AND((COLUMN()-2)&gt;=Inputs!$C$33,(COLUMN()-2)&lt;=Inputs!$C$34),-Inputs!$C$50/(Inputs!$C$34-Inputs!$C$33+1),0)</f>
        <v>0</v>
      </c>
      <c r="AF10" s="201">
        <f>IF(AND((COLUMN()-2)&gt;=Inputs!$C$33,(COLUMN()-2)&lt;=Inputs!$C$34),-Inputs!$C$50/(Inputs!$C$34-Inputs!$C$33+1),0)</f>
        <v>0</v>
      </c>
      <c r="AG10" s="202" cm="1">
        <f t="array" ref="AG10">SUMPRODUCT((YEAR($C$4:$AF$4)=AG$4)*$C10:$AF10)</f>
        <v>0</v>
      </c>
      <c r="AH10" s="202" cm="1">
        <f t="array" ref="AH10">SUMPRODUCT((YEAR($C$4:$AF$4)=AH$4)*$C10:$AF10)</f>
        <v>-43999.999999999993</v>
      </c>
      <c r="AI10" s="202" cm="1">
        <f t="array" ref="AI10">SUMPRODUCT((YEAR($C$4:$AF$4)=AI$4)*$C10:$AF10)</f>
        <v>-33000</v>
      </c>
      <c r="AJ10" s="202" cm="1">
        <f t="array" ref="AJ10">SUMPRODUCT((YEAR($C$4:$AF$4)=AJ$4)*$C10:$AF10)</f>
        <v>0</v>
      </c>
      <c r="AK10" s="202">
        <f t="shared" si="1"/>
        <v>-77000</v>
      </c>
    </row>
    <row r="11" spans="1:37" x14ac:dyDescent="0.25">
      <c r="A11" s="203"/>
      <c r="B11" s="203" t="s">
        <v>246</v>
      </c>
      <c r="C11" s="204">
        <f>SUM(C9:C10)</f>
        <v>-11078.349999999999</v>
      </c>
      <c r="D11" s="204">
        <f t="shared" ref="D11:AF11" si="3">SUM(D9:D10)</f>
        <v>-11078.349999999999</v>
      </c>
      <c r="E11" s="204">
        <f t="shared" si="3"/>
        <v>-11078.349999999999</v>
      </c>
      <c r="F11" s="204">
        <f t="shared" si="3"/>
        <v>-11078.349999999999</v>
      </c>
      <c r="G11" s="204">
        <f t="shared" si="3"/>
        <v>-11078.349999999999</v>
      </c>
      <c r="H11" s="204">
        <f t="shared" si="3"/>
        <v>-11078.349999999999</v>
      </c>
      <c r="I11" s="204">
        <f t="shared" si="3"/>
        <v>-11052.233333333334</v>
      </c>
      <c r="J11" s="204">
        <f t="shared" si="3"/>
        <v>-11052.233333333334</v>
      </c>
      <c r="K11" s="204">
        <f t="shared" si="3"/>
        <v>-11052.233333333334</v>
      </c>
      <c r="L11" s="204">
        <f t="shared" si="3"/>
        <v>-11052.233333333334</v>
      </c>
      <c r="M11" s="204">
        <f t="shared" si="3"/>
        <v>-11052.233333333334</v>
      </c>
      <c r="N11" s="204">
        <f t="shared" si="3"/>
        <v>-11052.233333333334</v>
      </c>
      <c r="O11" s="204">
        <f t="shared" si="3"/>
        <v>-11052.233333333334</v>
      </c>
      <c r="P11" s="204">
        <f t="shared" si="3"/>
        <v>-11052.233333333334</v>
      </c>
      <c r="Q11" s="204">
        <f t="shared" si="3"/>
        <v>-11052.233333333334</v>
      </c>
      <c r="R11" s="204">
        <f t="shared" si="3"/>
        <v>-11052.233333333334</v>
      </c>
      <c r="S11" s="204">
        <f t="shared" si="3"/>
        <v>-11052.233333333334</v>
      </c>
      <c r="T11" s="204">
        <f t="shared" si="3"/>
        <v>-11052.233333333334</v>
      </c>
      <c r="U11" s="204">
        <f t="shared" si="3"/>
        <v>-11052.233333333334</v>
      </c>
      <c r="V11" s="204">
        <f t="shared" si="3"/>
        <v>-11052.233333333334</v>
      </c>
      <c r="W11" s="204">
        <f t="shared" si="3"/>
        <v>-11052.233333333334</v>
      </c>
      <c r="X11" s="204">
        <f t="shared" si="3"/>
        <v>-11052.233333333334</v>
      </c>
      <c r="Y11" s="204">
        <f t="shared" si="3"/>
        <v>-11052.233333333334</v>
      </c>
      <c r="Z11" s="204">
        <f t="shared" si="3"/>
        <v>-11052.233333333334</v>
      </c>
      <c r="AA11" s="204">
        <f t="shared" si="3"/>
        <v>-11052.233333333334</v>
      </c>
      <c r="AB11" s="204">
        <f t="shared" si="3"/>
        <v>-11052.233333333334</v>
      </c>
      <c r="AC11" s="204">
        <f t="shared" si="3"/>
        <v>-11052.233333333334</v>
      </c>
      <c r="AD11" s="204">
        <f t="shared" si="3"/>
        <v>0</v>
      </c>
      <c r="AE11" s="204">
        <f t="shared" si="3"/>
        <v>0</v>
      </c>
      <c r="AF11" s="204">
        <f t="shared" si="3"/>
        <v>0</v>
      </c>
      <c r="AG11" s="204" cm="1">
        <f t="array" ref="AG11">SUMPRODUCT((YEAR($C$4:$AF$4)=AG$4)*$C11:$AF11)</f>
        <v>-66470.099999999991</v>
      </c>
      <c r="AH11" s="204" cm="1">
        <f t="array" ref="AH11">SUMPRODUCT((YEAR($C$4:$AF$4)=AH$4)*$C11:$AF11)</f>
        <v>-132626.80000000002</v>
      </c>
      <c r="AI11" s="204" cm="1">
        <f t="array" ref="AI11">SUMPRODUCT((YEAR($C$4:$AF$4)=AI$4)*$C11:$AF11)</f>
        <v>-99470.10000000002</v>
      </c>
      <c r="AJ11" s="204" cm="1">
        <f t="array" ref="AJ11">SUMPRODUCT((YEAR($C$4:$AF$4)=AJ$4)*$C11:$AF11)</f>
        <v>0</v>
      </c>
      <c r="AK11" s="204">
        <f t="shared" si="1"/>
        <v>-298567.00000000006</v>
      </c>
    </row>
    <row r="12" spans="1:37" x14ac:dyDescent="0.25">
      <c r="A12" s="199" t="s">
        <v>247</v>
      </c>
      <c r="B12" s="200" t="s">
        <v>59</v>
      </c>
      <c r="C12" s="201">
        <f>IF(AND((COLUMN()-2)&gt;=Inputs!$C$33,(COLUMN()-2)&lt;=Inputs!$C$34),-Inputs!$C$97*IF(Inputs!$C$92="S-curve",(3*(((COLUMN()-2)-Inputs!$C$33+1)/(Inputs!$C$34-Inputs!$C$33+1))^2-2*(((COLUMN()-2)-Inputs!$C$33+1)/(Inputs!$C$34-Inputs!$C$33+1))^3)-(3*(((COLUMN()-2)-Inputs!$C$33)/(Inputs!$C$34-Inputs!$C$33+1))^2-2*(((COLUMN()-2)-Inputs!$C$33)/(Inputs!$C$34-Inputs!$C$33+1))^3),1/(Inputs!$C$34-Inputs!$C$33+1)),0)</f>
        <v>0</v>
      </c>
      <c r="D12" s="201">
        <f>IF(AND((COLUMN()-2)&gt;=Inputs!$C$33,(COLUMN()-2)&lt;=Inputs!$C$34),-Inputs!$C$97*IF(Inputs!$C$92="S-curve",(3*(((COLUMN()-2)-Inputs!$C$33+1)/(Inputs!$C$34-Inputs!$C$33+1))^2-2*(((COLUMN()-2)-Inputs!$C$33+1)/(Inputs!$C$34-Inputs!$C$33+1))^3)-(3*(((COLUMN()-2)-Inputs!$C$33)/(Inputs!$C$34-Inputs!$C$33+1))^2-2*(((COLUMN()-2)-Inputs!$C$33)/(Inputs!$C$34-Inputs!$C$33+1))^3),1/(Inputs!$C$34-Inputs!$C$33+1)),0)</f>
        <v>0</v>
      </c>
      <c r="E12" s="201">
        <f>IF(AND((COLUMN()-2)&gt;=Inputs!$C$33,(COLUMN()-2)&lt;=Inputs!$C$34),-Inputs!$C$97*IF(Inputs!$C$92="S-curve",(3*(((COLUMN()-2)-Inputs!$C$33+1)/(Inputs!$C$34-Inputs!$C$33+1))^2-2*(((COLUMN()-2)-Inputs!$C$33+1)/(Inputs!$C$34-Inputs!$C$33+1))^3)-(3*(((COLUMN()-2)-Inputs!$C$33)/(Inputs!$C$34-Inputs!$C$33+1))^2-2*(((COLUMN()-2)-Inputs!$C$33)/(Inputs!$C$34-Inputs!$C$33+1))^3),1/(Inputs!$C$34-Inputs!$C$33+1)),0)</f>
        <v>0</v>
      </c>
      <c r="F12" s="201">
        <f>IF(AND((COLUMN()-2)&gt;=Inputs!$C$33,(COLUMN()-2)&lt;=Inputs!$C$34),-Inputs!$C$97*IF(Inputs!$C$92="S-curve",(3*(((COLUMN()-2)-Inputs!$C$33+1)/(Inputs!$C$34-Inputs!$C$33+1))^2-2*(((COLUMN()-2)-Inputs!$C$33+1)/(Inputs!$C$34-Inputs!$C$33+1))^3)-(3*(((COLUMN()-2)-Inputs!$C$33)/(Inputs!$C$34-Inputs!$C$33+1))^2-2*(((COLUMN()-2)-Inputs!$C$33)/(Inputs!$C$34-Inputs!$C$33+1))^3),1/(Inputs!$C$34-Inputs!$C$33+1)),0)</f>
        <v>0</v>
      </c>
      <c r="G12" s="201">
        <f>IF(AND((COLUMN()-2)&gt;=Inputs!$C$33,(COLUMN()-2)&lt;=Inputs!$C$34),-Inputs!$C$97*IF(Inputs!$C$92="S-curve",(3*(((COLUMN()-2)-Inputs!$C$33+1)/(Inputs!$C$34-Inputs!$C$33+1))^2-2*(((COLUMN()-2)-Inputs!$C$33+1)/(Inputs!$C$34-Inputs!$C$33+1))^3)-(3*(((COLUMN()-2)-Inputs!$C$33)/(Inputs!$C$34-Inputs!$C$33+1))^2-2*(((COLUMN()-2)-Inputs!$C$33)/(Inputs!$C$34-Inputs!$C$33+1))^3),1/(Inputs!$C$34-Inputs!$C$33+1)),0)</f>
        <v>0</v>
      </c>
      <c r="H12" s="201">
        <f>IF(AND((COLUMN()-2)&gt;=Inputs!$C$33,(COLUMN()-2)&lt;=Inputs!$C$34),-Inputs!$C$97*IF(Inputs!$C$92="S-curve",(3*(((COLUMN()-2)-Inputs!$C$33+1)/(Inputs!$C$34-Inputs!$C$33+1))^2-2*(((COLUMN()-2)-Inputs!$C$33+1)/(Inputs!$C$34-Inputs!$C$33+1))^3)-(3*(((COLUMN()-2)-Inputs!$C$33)/(Inputs!$C$34-Inputs!$C$33+1))^2-2*(((COLUMN()-2)-Inputs!$C$33)/(Inputs!$C$34-Inputs!$C$33+1))^3),1/(Inputs!$C$34-Inputs!$C$33+1)),0)</f>
        <v>0</v>
      </c>
      <c r="I12" s="201">
        <f>IF(AND((COLUMN()-2)&gt;=Inputs!$C$33,(COLUMN()-2)&lt;=Inputs!$C$34),-Inputs!$C$97*IF(Inputs!$C$92="S-curve",(3*(((COLUMN()-2)-Inputs!$C$33+1)/(Inputs!$C$34-Inputs!$C$33+1))^2-2*(((COLUMN()-2)-Inputs!$C$33+1)/(Inputs!$C$34-Inputs!$C$33+1))^3)-(3*(((COLUMN()-2)-Inputs!$C$33)/(Inputs!$C$34-Inputs!$C$33+1))^2-2*(((COLUMN()-2)-Inputs!$C$33)/(Inputs!$C$34-Inputs!$C$33+1))^3),1/(Inputs!$C$34-Inputs!$C$33+1)),0)</f>
        <v>-95916.619047619039</v>
      </c>
      <c r="J12" s="201">
        <f>IF(AND((COLUMN()-2)&gt;=Inputs!$C$33,(COLUMN()-2)&lt;=Inputs!$C$34),-Inputs!$C$97*IF(Inputs!$C$92="S-curve",(3*(((COLUMN()-2)-Inputs!$C$33+1)/(Inputs!$C$34-Inputs!$C$33+1))^2-2*(((COLUMN()-2)-Inputs!$C$33+1)/(Inputs!$C$34-Inputs!$C$33+1))^3)-(3*(((COLUMN()-2)-Inputs!$C$33)/(Inputs!$C$34-Inputs!$C$33+1))^2-2*(((COLUMN()-2)-Inputs!$C$33)/(Inputs!$C$34-Inputs!$C$33+1))^3),1/(Inputs!$C$34-Inputs!$C$33+1)),0)</f>
        <v>-95916.619047619039</v>
      </c>
      <c r="K12" s="201">
        <f>IF(AND((COLUMN()-2)&gt;=Inputs!$C$33,(COLUMN()-2)&lt;=Inputs!$C$34),-Inputs!$C$97*IF(Inputs!$C$92="S-curve",(3*(((COLUMN()-2)-Inputs!$C$33+1)/(Inputs!$C$34-Inputs!$C$33+1))^2-2*(((COLUMN()-2)-Inputs!$C$33+1)/(Inputs!$C$34-Inputs!$C$33+1))^3)-(3*(((COLUMN()-2)-Inputs!$C$33)/(Inputs!$C$34-Inputs!$C$33+1))^2-2*(((COLUMN()-2)-Inputs!$C$33)/(Inputs!$C$34-Inputs!$C$33+1))^3),1/(Inputs!$C$34-Inputs!$C$33+1)),0)</f>
        <v>-95916.619047619039</v>
      </c>
      <c r="L12" s="201">
        <f>IF(AND((COLUMN()-2)&gt;=Inputs!$C$33,(COLUMN()-2)&lt;=Inputs!$C$34),-Inputs!$C$97*IF(Inputs!$C$92="S-curve",(3*(((COLUMN()-2)-Inputs!$C$33+1)/(Inputs!$C$34-Inputs!$C$33+1))^2-2*(((COLUMN()-2)-Inputs!$C$33+1)/(Inputs!$C$34-Inputs!$C$33+1))^3)-(3*(((COLUMN()-2)-Inputs!$C$33)/(Inputs!$C$34-Inputs!$C$33+1))^2-2*(((COLUMN()-2)-Inputs!$C$33)/(Inputs!$C$34-Inputs!$C$33+1))^3),1/(Inputs!$C$34-Inputs!$C$33+1)),0)</f>
        <v>-95916.619047619039</v>
      </c>
      <c r="M12" s="201">
        <f>IF(AND((COLUMN()-2)&gt;=Inputs!$C$33,(COLUMN()-2)&lt;=Inputs!$C$34),-Inputs!$C$97*IF(Inputs!$C$92="S-curve",(3*(((COLUMN()-2)-Inputs!$C$33+1)/(Inputs!$C$34-Inputs!$C$33+1))^2-2*(((COLUMN()-2)-Inputs!$C$33+1)/(Inputs!$C$34-Inputs!$C$33+1))^3)-(3*(((COLUMN()-2)-Inputs!$C$33)/(Inputs!$C$34-Inputs!$C$33+1))^2-2*(((COLUMN()-2)-Inputs!$C$33)/(Inputs!$C$34-Inputs!$C$33+1))^3),1/(Inputs!$C$34-Inputs!$C$33+1)),0)</f>
        <v>-95916.619047619039</v>
      </c>
      <c r="N12" s="201">
        <f>IF(AND((COLUMN()-2)&gt;=Inputs!$C$33,(COLUMN()-2)&lt;=Inputs!$C$34),-Inputs!$C$97*IF(Inputs!$C$92="S-curve",(3*(((COLUMN()-2)-Inputs!$C$33+1)/(Inputs!$C$34-Inputs!$C$33+1))^2-2*(((COLUMN()-2)-Inputs!$C$33+1)/(Inputs!$C$34-Inputs!$C$33+1))^3)-(3*(((COLUMN()-2)-Inputs!$C$33)/(Inputs!$C$34-Inputs!$C$33+1))^2-2*(((COLUMN()-2)-Inputs!$C$33)/(Inputs!$C$34-Inputs!$C$33+1))^3),1/(Inputs!$C$34-Inputs!$C$33+1)),0)</f>
        <v>-95916.619047619039</v>
      </c>
      <c r="O12" s="201">
        <f>IF(AND((COLUMN()-2)&gt;=Inputs!$C$33,(COLUMN()-2)&lt;=Inputs!$C$34),-Inputs!$C$97*IF(Inputs!$C$92="S-curve",(3*(((COLUMN()-2)-Inputs!$C$33+1)/(Inputs!$C$34-Inputs!$C$33+1))^2-2*(((COLUMN()-2)-Inputs!$C$33+1)/(Inputs!$C$34-Inputs!$C$33+1))^3)-(3*(((COLUMN()-2)-Inputs!$C$33)/(Inputs!$C$34-Inputs!$C$33+1))^2-2*(((COLUMN()-2)-Inputs!$C$33)/(Inputs!$C$34-Inputs!$C$33+1))^3),1/(Inputs!$C$34-Inputs!$C$33+1)),0)</f>
        <v>-95916.619047619039</v>
      </c>
      <c r="P12" s="201">
        <f>IF(AND((COLUMN()-2)&gt;=Inputs!$C$33,(COLUMN()-2)&lt;=Inputs!$C$34),-Inputs!$C$97*IF(Inputs!$C$92="S-curve",(3*(((COLUMN()-2)-Inputs!$C$33+1)/(Inputs!$C$34-Inputs!$C$33+1))^2-2*(((COLUMN()-2)-Inputs!$C$33+1)/(Inputs!$C$34-Inputs!$C$33+1))^3)-(3*(((COLUMN()-2)-Inputs!$C$33)/(Inputs!$C$34-Inputs!$C$33+1))^2-2*(((COLUMN()-2)-Inputs!$C$33)/(Inputs!$C$34-Inputs!$C$33+1))^3),1/(Inputs!$C$34-Inputs!$C$33+1)),0)</f>
        <v>-95916.619047619039</v>
      </c>
      <c r="Q12" s="201">
        <f>IF(AND((COLUMN()-2)&gt;=Inputs!$C$33,(COLUMN()-2)&lt;=Inputs!$C$34),-Inputs!$C$97*IF(Inputs!$C$92="S-curve",(3*(((COLUMN()-2)-Inputs!$C$33+1)/(Inputs!$C$34-Inputs!$C$33+1))^2-2*(((COLUMN()-2)-Inputs!$C$33+1)/(Inputs!$C$34-Inputs!$C$33+1))^3)-(3*(((COLUMN()-2)-Inputs!$C$33)/(Inputs!$C$34-Inputs!$C$33+1))^2-2*(((COLUMN()-2)-Inputs!$C$33)/(Inputs!$C$34-Inputs!$C$33+1))^3),1/(Inputs!$C$34-Inputs!$C$33+1)),0)</f>
        <v>-95916.619047619039</v>
      </c>
      <c r="R12" s="201">
        <f>IF(AND((COLUMN()-2)&gt;=Inputs!$C$33,(COLUMN()-2)&lt;=Inputs!$C$34),-Inputs!$C$97*IF(Inputs!$C$92="S-curve",(3*(((COLUMN()-2)-Inputs!$C$33+1)/(Inputs!$C$34-Inputs!$C$33+1))^2-2*(((COLUMN()-2)-Inputs!$C$33+1)/(Inputs!$C$34-Inputs!$C$33+1))^3)-(3*(((COLUMN()-2)-Inputs!$C$33)/(Inputs!$C$34-Inputs!$C$33+1))^2-2*(((COLUMN()-2)-Inputs!$C$33)/(Inputs!$C$34-Inputs!$C$33+1))^3),1/(Inputs!$C$34-Inputs!$C$33+1)),0)</f>
        <v>-95916.619047619039</v>
      </c>
      <c r="S12" s="201">
        <f>IF(AND((COLUMN()-2)&gt;=Inputs!$C$33,(COLUMN()-2)&lt;=Inputs!$C$34),-Inputs!$C$97*IF(Inputs!$C$92="S-curve",(3*(((COLUMN()-2)-Inputs!$C$33+1)/(Inputs!$C$34-Inputs!$C$33+1))^2-2*(((COLUMN()-2)-Inputs!$C$33+1)/(Inputs!$C$34-Inputs!$C$33+1))^3)-(3*(((COLUMN()-2)-Inputs!$C$33)/(Inputs!$C$34-Inputs!$C$33+1))^2-2*(((COLUMN()-2)-Inputs!$C$33)/(Inputs!$C$34-Inputs!$C$33+1))^3),1/(Inputs!$C$34-Inputs!$C$33+1)),0)</f>
        <v>-95916.619047619039</v>
      </c>
      <c r="T12" s="201">
        <f>IF(AND((COLUMN()-2)&gt;=Inputs!$C$33,(COLUMN()-2)&lt;=Inputs!$C$34),-Inputs!$C$97*IF(Inputs!$C$92="S-curve",(3*(((COLUMN()-2)-Inputs!$C$33+1)/(Inputs!$C$34-Inputs!$C$33+1))^2-2*(((COLUMN()-2)-Inputs!$C$33+1)/(Inputs!$C$34-Inputs!$C$33+1))^3)-(3*(((COLUMN()-2)-Inputs!$C$33)/(Inputs!$C$34-Inputs!$C$33+1))^2-2*(((COLUMN()-2)-Inputs!$C$33)/(Inputs!$C$34-Inputs!$C$33+1))^3),1/(Inputs!$C$34-Inputs!$C$33+1)),0)</f>
        <v>-95916.619047619039</v>
      </c>
      <c r="U12" s="201">
        <f>IF(AND((COLUMN()-2)&gt;=Inputs!$C$33,(COLUMN()-2)&lt;=Inputs!$C$34),-Inputs!$C$97*IF(Inputs!$C$92="S-curve",(3*(((COLUMN()-2)-Inputs!$C$33+1)/(Inputs!$C$34-Inputs!$C$33+1))^2-2*(((COLUMN()-2)-Inputs!$C$33+1)/(Inputs!$C$34-Inputs!$C$33+1))^3)-(3*(((COLUMN()-2)-Inputs!$C$33)/(Inputs!$C$34-Inputs!$C$33+1))^2-2*(((COLUMN()-2)-Inputs!$C$33)/(Inputs!$C$34-Inputs!$C$33+1))^3),1/(Inputs!$C$34-Inputs!$C$33+1)),0)</f>
        <v>-95916.619047619039</v>
      </c>
      <c r="V12" s="201">
        <f>IF(AND((COLUMN()-2)&gt;=Inputs!$C$33,(COLUMN()-2)&lt;=Inputs!$C$34),-Inputs!$C$97*IF(Inputs!$C$92="S-curve",(3*(((COLUMN()-2)-Inputs!$C$33+1)/(Inputs!$C$34-Inputs!$C$33+1))^2-2*(((COLUMN()-2)-Inputs!$C$33+1)/(Inputs!$C$34-Inputs!$C$33+1))^3)-(3*(((COLUMN()-2)-Inputs!$C$33)/(Inputs!$C$34-Inputs!$C$33+1))^2-2*(((COLUMN()-2)-Inputs!$C$33)/(Inputs!$C$34-Inputs!$C$33+1))^3),1/(Inputs!$C$34-Inputs!$C$33+1)),0)</f>
        <v>-95916.619047619039</v>
      </c>
      <c r="W12" s="201">
        <f>IF(AND((COLUMN()-2)&gt;=Inputs!$C$33,(COLUMN()-2)&lt;=Inputs!$C$34),-Inputs!$C$97*IF(Inputs!$C$92="S-curve",(3*(((COLUMN()-2)-Inputs!$C$33+1)/(Inputs!$C$34-Inputs!$C$33+1))^2-2*(((COLUMN()-2)-Inputs!$C$33+1)/(Inputs!$C$34-Inputs!$C$33+1))^3)-(3*(((COLUMN()-2)-Inputs!$C$33)/(Inputs!$C$34-Inputs!$C$33+1))^2-2*(((COLUMN()-2)-Inputs!$C$33)/(Inputs!$C$34-Inputs!$C$33+1))^3),1/(Inputs!$C$34-Inputs!$C$33+1)),0)</f>
        <v>-95916.619047619039</v>
      </c>
      <c r="X12" s="201">
        <f>IF(AND((COLUMN()-2)&gt;=Inputs!$C$33,(COLUMN()-2)&lt;=Inputs!$C$34),-Inputs!$C$97*IF(Inputs!$C$92="S-curve",(3*(((COLUMN()-2)-Inputs!$C$33+1)/(Inputs!$C$34-Inputs!$C$33+1))^2-2*(((COLUMN()-2)-Inputs!$C$33+1)/(Inputs!$C$34-Inputs!$C$33+1))^3)-(3*(((COLUMN()-2)-Inputs!$C$33)/(Inputs!$C$34-Inputs!$C$33+1))^2-2*(((COLUMN()-2)-Inputs!$C$33)/(Inputs!$C$34-Inputs!$C$33+1))^3),1/(Inputs!$C$34-Inputs!$C$33+1)),0)</f>
        <v>-95916.619047619039</v>
      </c>
      <c r="Y12" s="201">
        <f>IF(AND((COLUMN()-2)&gt;=Inputs!$C$33,(COLUMN()-2)&lt;=Inputs!$C$34),-Inputs!$C$97*IF(Inputs!$C$92="S-curve",(3*(((COLUMN()-2)-Inputs!$C$33+1)/(Inputs!$C$34-Inputs!$C$33+1))^2-2*(((COLUMN()-2)-Inputs!$C$33+1)/(Inputs!$C$34-Inputs!$C$33+1))^3)-(3*(((COLUMN()-2)-Inputs!$C$33)/(Inputs!$C$34-Inputs!$C$33+1))^2-2*(((COLUMN()-2)-Inputs!$C$33)/(Inputs!$C$34-Inputs!$C$33+1))^3),1/(Inputs!$C$34-Inputs!$C$33+1)),0)</f>
        <v>-95916.619047619039</v>
      </c>
      <c r="Z12" s="201">
        <f>IF(AND((COLUMN()-2)&gt;=Inputs!$C$33,(COLUMN()-2)&lt;=Inputs!$C$34),-Inputs!$C$97*IF(Inputs!$C$92="S-curve",(3*(((COLUMN()-2)-Inputs!$C$33+1)/(Inputs!$C$34-Inputs!$C$33+1))^2-2*(((COLUMN()-2)-Inputs!$C$33+1)/(Inputs!$C$34-Inputs!$C$33+1))^3)-(3*(((COLUMN()-2)-Inputs!$C$33)/(Inputs!$C$34-Inputs!$C$33+1))^2-2*(((COLUMN()-2)-Inputs!$C$33)/(Inputs!$C$34-Inputs!$C$33+1))^3),1/(Inputs!$C$34-Inputs!$C$33+1)),0)</f>
        <v>-95916.619047619039</v>
      </c>
      <c r="AA12" s="201">
        <f>IF(AND((COLUMN()-2)&gt;=Inputs!$C$33,(COLUMN()-2)&lt;=Inputs!$C$34),-Inputs!$C$97*IF(Inputs!$C$92="S-curve",(3*(((COLUMN()-2)-Inputs!$C$33+1)/(Inputs!$C$34-Inputs!$C$33+1))^2-2*(((COLUMN()-2)-Inputs!$C$33+1)/(Inputs!$C$34-Inputs!$C$33+1))^3)-(3*(((COLUMN()-2)-Inputs!$C$33)/(Inputs!$C$34-Inputs!$C$33+1))^2-2*(((COLUMN()-2)-Inputs!$C$33)/(Inputs!$C$34-Inputs!$C$33+1))^3),1/(Inputs!$C$34-Inputs!$C$33+1)),0)</f>
        <v>-95916.619047619039</v>
      </c>
      <c r="AB12" s="201">
        <f>IF(AND((COLUMN()-2)&gt;=Inputs!$C$33,(COLUMN()-2)&lt;=Inputs!$C$34),-Inputs!$C$97*IF(Inputs!$C$92="S-curve",(3*(((COLUMN()-2)-Inputs!$C$33+1)/(Inputs!$C$34-Inputs!$C$33+1))^2-2*(((COLUMN()-2)-Inputs!$C$33+1)/(Inputs!$C$34-Inputs!$C$33+1))^3)-(3*(((COLUMN()-2)-Inputs!$C$33)/(Inputs!$C$34-Inputs!$C$33+1))^2-2*(((COLUMN()-2)-Inputs!$C$33)/(Inputs!$C$34-Inputs!$C$33+1))^3),1/(Inputs!$C$34-Inputs!$C$33+1)),0)</f>
        <v>-95916.619047619039</v>
      </c>
      <c r="AC12" s="201">
        <f>IF(AND((COLUMN()-2)&gt;=Inputs!$C$33,(COLUMN()-2)&lt;=Inputs!$C$34),-Inputs!$C$97*IF(Inputs!$C$92="S-curve",(3*(((COLUMN()-2)-Inputs!$C$33+1)/(Inputs!$C$34-Inputs!$C$33+1))^2-2*(((COLUMN()-2)-Inputs!$C$33+1)/(Inputs!$C$34-Inputs!$C$33+1))^3)-(3*(((COLUMN()-2)-Inputs!$C$33)/(Inputs!$C$34-Inputs!$C$33+1))^2-2*(((COLUMN()-2)-Inputs!$C$33)/(Inputs!$C$34-Inputs!$C$33+1))^3),1/(Inputs!$C$34-Inputs!$C$33+1)),0)</f>
        <v>-95916.619047619039</v>
      </c>
      <c r="AD12" s="201">
        <f>IF(AND((COLUMN()-2)&gt;=Inputs!$C$33,(COLUMN()-2)&lt;=Inputs!$C$34),-Inputs!$C$97*IF(Inputs!$C$92="S-curve",(3*(((COLUMN()-2)-Inputs!$C$33+1)/(Inputs!$C$34-Inputs!$C$33+1))^2-2*(((COLUMN()-2)-Inputs!$C$33+1)/(Inputs!$C$34-Inputs!$C$33+1))^3)-(3*(((COLUMN()-2)-Inputs!$C$33)/(Inputs!$C$34-Inputs!$C$33+1))^2-2*(((COLUMN()-2)-Inputs!$C$33)/(Inputs!$C$34-Inputs!$C$33+1))^3),1/(Inputs!$C$34-Inputs!$C$33+1)),0)</f>
        <v>0</v>
      </c>
      <c r="AE12" s="201">
        <f>IF(AND((COLUMN()-2)&gt;=Inputs!$C$33,(COLUMN()-2)&lt;=Inputs!$C$34),-Inputs!$C$97*IF(Inputs!$C$92="S-curve",(3*(((COLUMN()-2)-Inputs!$C$33+1)/(Inputs!$C$34-Inputs!$C$33+1))^2-2*(((COLUMN()-2)-Inputs!$C$33+1)/(Inputs!$C$34-Inputs!$C$33+1))^3)-(3*(((COLUMN()-2)-Inputs!$C$33)/(Inputs!$C$34-Inputs!$C$33+1))^2-2*(((COLUMN()-2)-Inputs!$C$33)/(Inputs!$C$34-Inputs!$C$33+1))^3),1/(Inputs!$C$34-Inputs!$C$33+1)),0)</f>
        <v>0</v>
      </c>
      <c r="AF12" s="201">
        <f>IF(AND((COLUMN()-2)&gt;=Inputs!$C$33,(COLUMN()-2)&lt;=Inputs!$C$34),-Inputs!$C$97*IF(Inputs!$C$92="S-curve",(3*(((COLUMN()-2)-Inputs!$C$33+1)/(Inputs!$C$34-Inputs!$C$33+1))^2-2*(((COLUMN()-2)-Inputs!$C$33+1)/(Inputs!$C$34-Inputs!$C$33+1))^3)-(3*(((COLUMN()-2)-Inputs!$C$33)/(Inputs!$C$34-Inputs!$C$33+1))^2-2*(((COLUMN()-2)-Inputs!$C$33)/(Inputs!$C$34-Inputs!$C$33+1))^3),1/(Inputs!$C$34-Inputs!$C$33+1)),0)</f>
        <v>0</v>
      </c>
      <c r="AG12" s="202" cm="1">
        <f t="array" ref="AG12">SUMPRODUCT((YEAR($C$4:$AF$4)=AG$4)*$C12:$AF12)</f>
        <v>0</v>
      </c>
      <c r="AH12" s="202" cm="1">
        <f t="array" ref="AH12">SUMPRODUCT((YEAR($C$4:$AF$4)=AH$4)*$C12:$AF12)</f>
        <v>-1150999.4285714284</v>
      </c>
      <c r="AI12" s="202" cm="1">
        <f t="array" ref="AI12">SUMPRODUCT((YEAR($C$4:$AF$4)=AI$4)*$C12:$AF12)</f>
        <v>-863249.57142857136</v>
      </c>
      <c r="AJ12" s="202" cm="1">
        <f t="array" ref="AJ12">SUMPRODUCT((YEAR($C$4:$AF$4)=AJ$4)*$C12:$AF12)</f>
        <v>0</v>
      </c>
      <c r="AK12" s="202">
        <f t="shared" si="1"/>
        <v>-2014248.9999999988</v>
      </c>
    </row>
    <row r="13" spans="1:37" x14ac:dyDescent="0.25">
      <c r="A13" s="200"/>
      <c r="B13" s="200" t="s">
        <v>248</v>
      </c>
      <c r="C13" s="201">
        <f>IF(AND((COLUMN()-2)&gt;=Inputs!$C$33,(COLUMN()-2)&lt;=Inputs!$C$34),-Inputs!$C$28/(Inputs!$C$34-Inputs!$C$33+1),0)</f>
        <v>0</v>
      </c>
      <c r="D13" s="201">
        <f>IF(AND((COLUMN()-2)&gt;=Inputs!$C$33,(COLUMN()-2)&lt;=Inputs!$C$34),-Inputs!$C$28/(Inputs!$C$34-Inputs!$C$33+1),0)</f>
        <v>0</v>
      </c>
      <c r="E13" s="201">
        <f>IF(AND((COLUMN()-2)&gt;=Inputs!$C$33,(COLUMN()-2)&lt;=Inputs!$C$34),-Inputs!$C$28/(Inputs!$C$34-Inputs!$C$33+1),0)</f>
        <v>0</v>
      </c>
      <c r="F13" s="201">
        <f>IF(AND((COLUMN()-2)&gt;=Inputs!$C$33,(COLUMN()-2)&lt;=Inputs!$C$34),-Inputs!$C$28/(Inputs!$C$34-Inputs!$C$33+1),0)</f>
        <v>0</v>
      </c>
      <c r="G13" s="201">
        <f>IF(AND((COLUMN()-2)&gt;=Inputs!$C$33,(COLUMN()-2)&lt;=Inputs!$C$34),-Inputs!$C$28/(Inputs!$C$34-Inputs!$C$33+1),0)</f>
        <v>0</v>
      </c>
      <c r="H13" s="201">
        <f>IF(AND((COLUMN()-2)&gt;=Inputs!$C$33,(COLUMN()-2)&lt;=Inputs!$C$34),-Inputs!$C$28/(Inputs!$C$34-Inputs!$C$33+1),0)</f>
        <v>0</v>
      </c>
      <c r="I13" s="201">
        <f>IF(AND((COLUMN()-2)&gt;=Inputs!$C$33,(COLUMN()-2)&lt;=Inputs!$C$34),-Inputs!$C$28/(Inputs!$C$34-Inputs!$C$33+1),0)</f>
        <v>-2285.7142857142858</v>
      </c>
      <c r="J13" s="201">
        <f>IF(AND((COLUMN()-2)&gt;=Inputs!$C$33,(COLUMN()-2)&lt;=Inputs!$C$34),-Inputs!$C$28/(Inputs!$C$34-Inputs!$C$33+1),0)</f>
        <v>-2285.7142857142858</v>
      </c>
      <c r="K13" s="201">
        <f>IF(AND((COLUMN()-2)&gt;=Inputs!$C$33,(COLUMN()-2)&lt;=Inputs!$C$34),-Inputs!$C$28/(Inputs!$C$34-Inputs!$C$33+1),0)</f>
        <v>-2285.7142857142858</v>
      </c>
      <c r="L13" s="201">
        <f>IF(AND((COLUMN()-2)&gt;=Inputs!$C$33,(COLUMN()-2)&lt;=Inputs!$C$34),-Inputs!$C$28/(Inputs!$C$34-Inputs!$C$33+1),0)</f>
        <v>-2285.7142857142858</v>
      </c>
      <c r="M13" s="201">
        <f>IF(AND((COLUMN()-2)&gt;=Inputs!$C$33,(COLUMN()-2)&lt;=Inputs!$C$34),-Inputs!$C$28/(Inputs!$C$34-Inputs!$C$33+1),0)</f>
        <v>-2285.7142857142858</v>
      </c>
      <c r="N13" s="201">
        <f>IF(AND((COLUMN()-2)&gt;=Inputs!$C$33,(COLUMN()-2)&lt;=Inputs!$C$34),-Inputs!$C$28/(Inputs!$C$34-Inputs!$C$33+1),0)</f>
        <v>-2285.7142857142858</v>
      </c>
      <c r="O13" s="201">
        <f>IF(AND((COLUMN()-2)&gt;=Inputs!$C$33,(COLUMN()-2)&lt;=Inputs!$C$34),-Inputs!$C$28/(Inputs!$C$34-Inputs!$C$33+1),0)</f>
        <v>-2285.7142857142858</v>
      </c>
      <c r="P13" s="201">
        <f>IF(AND((COLUMN()-2)&gt;=Inputs!$C$33,(COLUMN()-2)&lt;=Inputs!$C$34),-Inputs!$C$28/(Inputs!$C$34-Inputs!$C$33+1),0)</f>
        <v>-2285.7142857142858</v>
      </c>
      <c r="Q13" s="201">
        <f>IF(AND((COLUMN()-2)&gt;=Inputs!$C$33,(COLUMN()-2)&lt;=Inputs!$C$34),-Inputs!$C$28/(Inputs!$C$34-Inputs!$C$33+1),0)</f>
        <v>-2285.7142857142858</v>
      </c>
      <c r="R13" s="201">
        <f>IF(AND((COLUMN()-2)&gt;=Inputs!$C$33,(COLUMN()-2)&lt;=Inputs!$C$34),-Inputs!$C$28/(Inputs!$C$34-Inputs!$C$33+1),0)</f>
        <v>-2285.7142857142858</v>
      </c>
      <c r="S13" s="201">
        <f>IF(AND((COLUMN()-2)&gt;=Inputs!$C$33,(COLUMN()-2)&lt;=Inputs!$C$34),-Inputs!$C$28/(Inputs!$C$34-Inputs!$C$33+1),0)</f>
        <v>-2285.7142857142858</v>
      </c>
      <c r="T13" s="201">
        <f>IF(AND((COLUMN()-2)&gt;=Inputs!$C$33,(COLUMN()-2)&lt;=Inputs!$C$34),-Inputs!$C$28/(Inputs!$C$34-Inputs!$C$33+1),0)</f>
        <v>-2285.7142857142858</v>
      </c>
      <c r="U13" s="201">
        <f>IF(AND((COLUMN()-2)&gt;=Inputs!$C$33,(COLUMN()-2)&lt;=Inputs!$C$34),-Inputs!$C$28/(Inputs!$C$34-Inputs!$C$33+1),0)</f>
        <v>-2285.7142857142858</v>
      </c>
      <c r="V13" s="201">
        <f>IF(AND((COLUMN()-2)&gt;=Inputs!$C$33,(COLUMN()-2)&lt;=Inputs!$C$34),-Inputs!$C$28/(Inputs!$C$34-Inputs!$C$33+1),0)</f>
        <v>-2285.7142857142858</v>
      </c>
      <c r="W13" s="201">
        <f>IF(AND((COLUMN()-2)&gt;=Inputs!$C$33,(COLUMN()-2)&lt;=Inputs!$C$34),-Inputs!$C$28/(Inputs!$C$34-Inputs!$C$33+1),0)</f>
        <v>-2285.7142857142858</v>
      </c>
      <c r="X13" s="201">
        <f>IF(AND((COLUMN()-2)&gt;=Inputs!$C$33,(COLUMN()-2)&lt;=Inputs!$C$34),-Inputs!$C$28/(Inputs!$C$34-Inputs!$C$33+1),0)</f>
        <v>-2285.7142857142858</v>
      </c>
      <c r="Y13" s="201">
        <f>IF(AND((COLUMN()-2)&gt;=Inputs!$C$33,(COLUMN()-2)&lt;=Inputs!$C$34),-Inputs!$C$28/(Inputs!$C$34-Inputs!$C$33+1),0)</f>
        <v>-2285.7142857142858</v>
      </c>
      <c r="Z13" s="201">
        <f>IF(AND((COLUMN()-2)&gt;=Inputs!$C$33,(COLUMN()-2)&lt;=Inputs!$C$34),-Inputs!$C$28/(Inputs!$C$34-Inputs!$C$33+1),0)</f>
        <v>-2285.7142857142858</v>
      </c>
      <c r="AA13" s="201">
        <f>IF(AND((COLUMN()-2)&gt;=Inputs!$C$33,(COLUMN()-2)&lt;=Inputs!$C$34),-Inputs!$C$28/(Inputs!$C$34-Inputs!$C$33+1),0)</f>
        <v>-2285.7142857142858</v>
      </c>
      <c r="AB13" s="201">
        <f>IF(AND((COLUMN()-2)&gt;=Inputs!$C$33,(COLUMN()-2)&lt;=Inputs!$C$34),-Inputs!$C$28/(Inputs!$C$34-Inputs!$C$33+1),0)</f>
        <v>-2285.7142857142858</v>
      </c>
      <c r="AC13" s="201">
        <f>IF(AND((COLUMN()-2)&gt;=Inputs!$C$33,(COLUMN()-2)&lt;=Inputs!$C$34),-Inputs!$C$28/(Inputs!$C$34-Inputs!$C$33+1),0)</f>
        <v>-2285.7142857142858</v>
      </c>
      <c r="AD13" s="201">
        <f>IF(AND((COLUMN()-2)&gt;=Inputs!$C$33,(COLUMN()-2)&lt;=Inputs!$C$34),-Inputs!$C$28/(Inputs!$C$34-Inputs!$C$33+1),0)</f>
        <v>0</v>
      </c>
      <c r="AE13" s="201">
        <f>IF(AND((COLUMN()-2)&gt;=Inputs!$C$33,(COLUMN()-2)&lt;=Inputs!$C$34),-Inputs!$C$28/(Inputs!$C$34-Inputs!$C$33+1),0)</f>
        <v>0</v>
      </c>
      <c r="AF13" s="201">
        <f>IF(AND((COLUMN()-2)&gt;=Inputs!$C$33,(COLUMN()-2)&lt;=Inputs!$C$34),-Inputs!$C$28/(Inputs!$C$34-Inputs!$C$33+1),0)</f>
        <v>0</v>
      </c>
      <c r="AG13" s="202" cm="1">
        <f t="array" ref="AG13">SUMPRODUCT((YEAR($C$4:$AF$4)=AG$4)*$C13:$AF13)</f>
        <v>0</v>
      </c>
      <c r="AH13" s="202" cm="1">
        <f t="array" ref="AH13">SUMPRODUCT((YEAR($C$4:$AF$4)=AH$4)*$C13:$AF13)</f>
        <v>-27428.571428571431</v>
      </c>
      <c r="AI13" s="202" cm="1">
        <f t="array" ref="AI13">SUMPRODUCT((YEAR($C$4:$AF$4)=AI$4)*$C13:$AF13)</f>
        <v>-20571.428571428572</v>
      </c>
      <c r="AJ13" s="202" cm="1">
        <f t="array" ref="AJ13">SUMPRODUCT((YEAR($C$4:$AF$4)=AJ$4)*$C13:$AF13)</f>
        <v>0</v>
      </c>
      <c r="AK13" s="202">
        <f t="shared" si="1"/>
        <v>-47999.999999999985</v>
      </c>
    </row>
    <row r="14" spans="1:37" x14ac:dyDescent="0.25">
      <c r="A14" s="203"/>
      <c r="B14" s="203" t="s">
        <v>249</v>
      </c>
      <c r="C14" s="204">
        <f>SUM(C12:C13)</f>
        <v>0</v>
      </c>
      <c r="D14" s="204">
        <f t="shared" ref="D14:AF14" si="4">SUM(D12:D13)</f>
        <v>0</v>
      </c>
      <c r="E14" s="204">
        <f t="shared" si="4"/>
        <v>0</v>
      </c>
      <c r="F14" s="204">
        <f t="shared" si="4"/>
        <v>0</v>
      </c>
      <c r="G14" s="204">
        <f t="shared" si="4"/>
        <v>0</v>
      </c>
      <c r="H14" s="204">
        <f t="shared" si="4"/>
        <v>0</v>
      </c>
      <c r="I14" s="204">
        <f t="shared" si="4"/>
        <v>-98202.333333333328</v>
      </c>
      <c r="J14" s="204">
        <f t="shared" si="4"/>
        <v>-98202.333333333328</v>
      </c>
      <c r="K14" s="204">
        <f t="shared" si="4"/>
        <v>-98202.333333333328</v>
      </c>
      <c r="L14" s="204">
        <f t="shared" si="4"/>
        <v>-98202.333333333328</v>
      </c>
      <c r="M14" s="204">
        <f t="shared" si="4"/>
        <v>-98202.333333333328</v>
      </c>
      <c r="N14" s="204">
        <f t="shared" si="4"/>
        <v>-98202.333333333328</v>
      </c>
      <c r="O14" s="204">
        <f t="shared" si="4"/>
        <v>-98202.333333333328</v>
      </c>
      <c r="P14" s="204">
        <f t="shared" si="4"/>
        <v>-98202.333333333328</v>
      </c>
      <c r="Q14" s="204">
        <f t="shared" si="4"/>
        <v>-98202.333333333328</v>
      </c>
      <c r="R14" s="204">
        <f t="shared" si="4"/>
        <v>-98202.333333333328</v>
      </c>
      <c r="S14" s="204">
        <f t="shared" si="4"/>
        <v>-98202.333333333328</v>
      </c>
      <c r="T14" s="204">
        <f t="shared" si="4"/>
        <v>-98202.333333333328</v>
      </c>
      <c r="U14" s="204">
        <f t="shared" si="4"/>
        <v>-98202.333333333328</v>
      </c>
      <c r="V14" s="204">
        <f t="shared" si="4"/>
        <v>-98202.333333333328</v>
      </c>
      <c r="W14" s="204">
        <f t="shared" si="4"/>
        <v>-98202.333333333328</v>
      </c>
      <c r="X14" s="204">
        <f t="shared" si="4"/>
        <v>-98202.333333333328</v>
      </c>
      <c r="Y14" s="204">
        <f t="shared" si="4"/>
        <v>-98202.333333333328</v>
      </c>
      <c r="Z14" s="204">
        <f t="shared" si="4"/>
        <v>-98202.333333333328</v>
      </c>
      <c r="AA14" s="204">
        <f t="shared" si="4"/>
        <v>-98202.333333333328</v>
      </c>
      <c r="AB14" s="204">
        <f t="shared" si="4"/>
        <v>-98202.333333333328</v>
      </c>
      <c r="AC14" s="204">
        <f t="shared" si="4"/>
        <v>-98202.333333333328</v>
      </c>
      <c r="AD14" s="204">
        <f t="shared" si="4"/>
        <v>0</v>
      </c>
      <c r="AE14" s="204">
        <f t="shared" si="4"/>
        <v>0</v>
      </c>
      <c r="AF14" s="204">
        <f t="shared" si="4"/>
        <v>0</v>
      </c>
      <c r="AG14" s="204" cm="1">
        <f t="array" ref="AG14">SUMPRODUCT((YEAR($C$4:$AF$4)=AG$4)*$C14:$AF14)</f>
        <v>0</v>
      </c>
      <c r="AH14" s="204" cm="1">
        <f t="array" ref="AH14">SUMPRODUCT((YEAR($C$4:$AF$4)=AH$4)*$C14:$AF14)</f>
        <v>-1178428</v>
      </c>
      <c r="AI14" s="204" cm="1">
        <f t="array" ref="AI14">SUMPRODUCT((YEAR($C$4:$AF$4)=AI$4)*$C14:$AF14)</f>
        <v>-883821.00000000012</v>
      </c>
      <c r="AJ14" s="204" cm="1">
        <f t="array" ref="AJ14">SUMPRODUCT((YEAR($C$4:$AF$4)=AJ$4)*$C14:$AF14)</f>
        <v>0</v>
      </c>
      <c r="AK14" s="204">
        <f t="shared" si="1"/>
        <v>-2062248.9999999993</v>
      </c>
    </row>
    <row r="15" spans="1:37" x14ac:dyDescent="0.25">
      <c r="A15" s="199" t="s">
        <v>250</v>
      </c>
      <c r="B15" s="200" t="s">
        <v>251</v>
      </c>
      <c r="C15" s="201">
        <f>-Engine!C$11</f>
        <v>0</v>
      </c>
      <c r="D15" s="201">
        <f>-Engine!D$11</f>
        <v>-92.931374999999989</v>
      </c>
      <c r="E15" s="201">
        <f>-Engine!E$11</f>
        <v>-186.55973531249998</v>
      </c>
      <c r="F15" s="201">
        <f>-Engine!F$11</f>
        <v>-280.89030832734369</v>
      </c>
      <c r="G15" s="201">
        <f>-Engine!G$11</f>
        <v>-375.92836063979877</v>
      </c>
      <c r="H15" s="201">
        <f>-Engine!H$11</f>
        <v>-471.6791983445973</v>
      </c>
      <c r="I15" s="201">
        <f>-Engine!I$11</f>
        <v>-568.14816733218163</v>
      </c>
      <c r="J15" s="201">
        <f>-Engine!J$11</f>
        <v>-1391.818528587173</v>
      </c>
      <c r="K15" s="201">
        <f>-Engine!K$11</f>
        <v>-2221.6664175515766</v>
      </c>
      <c r="L15" s="201">
        <f>-Engine!L$11</f>
        <v>-3057.7381656832135</v>
      </c>
      <c r="M15" s="201">
        <f>-Engine!M$11</f>
        <v>-3900.0804519258372</v>
      </c>
      <c r="N15" s="201">
        <f>-Engine!N$11</f>
        <v>-4748.7403053152802</v>
      </c>
      <c r="O15" s="201">
        <f>-Engine!O$11</f>
        <v>-5603.7651076051443</v>
      </c>
      <c r="P15" s="201">
        <f>-Engine!P$11</f>
        <v>-6465.2025959121829</v>
      </c>
      <c r="Q15" s="201">
        <f>-Engine!Q$11</f>
        <v>-7333.1008653815243</v>
      </c>
      <c r="R15" s="201">
        <f>-Engine!R$11</f>
        <v>-8207.5083718718852</v>
      </c>
      <c r="S15" s="201">
        <f>-Engine!S$11</f>
        <v>-9088.473934660924</v>
      </c>
      <c r="T15" s="201">
        <f>-Engine!T$11</f>
        <v>-9976.0467391708808</v>
      </c>
      <c r="U15" s="201">
        <f>-Engine!U$11</f>
        <v>-10870.276339714661</v>
      </c>
      <c r="V15" s="201">
        <f>-Engine!V$11</f>
        <v>-11771.212662262522</v>
      </c>
      <c r="W15" s="201">
        <f>-Engine!W$11</f>
        <v>-12678.906007229491</v>
      </c>
      <c r="X15" s="201">
        <f>-Engine!X$11</f>
        <v>-13021.609499999999</v>
      </c>
      <c r="Y15" s="201">
        <f>-Engine!Y$11</f>
        <v>-13119.271571249999</v>
      </c>
      <c r="Z15" s="201">
        <f>-Engine!Z$11</f>
        <v>-13217.666108034373</v>
      </c>
      <c r="AA15" s="201">
        <f>-Engine!AA$11</f>
        <v>-13316.798603844631</v>
      </c>
      <c r="AB15" s="201">
        <f>-Engine!AB$11</f>
        <v>-13416.674593373466</v>
      </c>
      <c r="AC15" s="201">
        <f>-Engine!AC$11</f>
        <v>-13517.299652823765</v>
      </c>
      <c r="AD15" s="201">
        <f>-Engine!AD$11</f>
        <v>-13618.679400219944</v>
      </c>
      <c r="AE15" s="201">
        <f>-Engine!AE$11</f>
        <v>-13720.819495721595</v>
      </c>
      <c r="AF15" s="201">
        <f>-Engine!AF$11</f>
        <v>-13823.725641939505</v>
      </c>
      <c r="AG15" s="202" cm="1">
        <f t="array" ref="AG15">SUMPRODUCT((YEAR($C$4:$AF$4)=AG$4)*$C15:$AF15)</f>
        <v>-1407.9889776242399</v>
      </c>
      <c r="AH15" s="202" cm="1">
        <f t="array" ref="AH15">SUMPRODUCT((YEAR($C$4:$AF$4)=AH$4)*$C15:$AF15)</f>
        <v>-62562.289650997802</v>
      </c>
      <c r="AI15" s="202" cm="1">
        <f t="array" ref="AI15">SUMPRODUCT((YEAR($C$4:$AF$4)=AI$4)*$C15:$AF15)</f>
        <v>-156092.93957641395</v>
      </c>
      <c r="AJ15" s="202" cm="1">
        <f t="array" ref="AJ15">SUMPRODUCT((YEAR($C$4:$AF$4)=AJ$4)*$C15:$AF15)</f>
        <v>0</v>
      </c>
      <c r="AK15" s="202">
        <f t="shared" si="1"/>
        <v>-220063.21820503598</v>
      </c>
    </row>
    <row r="16" spans="1:37" x14ac:dyDescent="0.25">
      <c r="A16" s="200"/>
      <c r="B16" s="200" t="s">
        <v>252</v>
      </c>
      <c r="C16" s="201">
        <f>IF((COLUMN()-2)=Inputs!$C$35,-Engine!$B$28,0)</f>
        <v>0</v>
      </c>
      <c r="D16" s="201">
        <f>IF((COLUMN()-2)=Inputs!$C$35,-Engine!$B$28,0)</f>
        <v>0</v>
      </c>
      <c r="E16" s="201">
        <f>IF((COLUMN()-2)=Inputs!$C$35,-Engine!$B$28,0)</f>
        <v>0</v>
      </c>
      <c r="F16" s="201">
        <f>IF((COLUMN()-2)=Inputs!$C$35,-Engine!$B$28,0)</f>
        <v>0</v>
      </c>
      <c r="G16" s="201">
        <f>IF((COLUMN()-2)=Inputs!$C$35,-Engine!$B$28,0)</f>
        <v>0</v>
      </c>
      <c r="H16" s="201">
        <f>IF((COLUMN()-2)=Inputs!$C$35,-Engine!$B$28,0)</f>
        <v>0</v>
      </c>
      <c r="I16" s="201">
        <f>IF((COLUMN()-2)=Inputs!$C$35,-Engine!$B$28,0)</f>
        <v>0</v>
      </c>
      <c r="J16" s="201">
        <f>IF((COLUMN()-2)=Inputs!$C$35,-Engine!$B$28,0)</f>
        <v>0</v>
      </c>
      <c r="K16" s="201">
        <f>IF((COLUMN()-2)=Inputs!$C$35,-Engine!$B$28,0)</f>
        <v>0</v>
      </c>
      <c r="L16" s="201">
        <f>IF((COLUMN()-2)=Inputs!$C$35,-Engine!$B$28,0)</f>
        <v>0</v>
      </c>
      <c r="M16" s="201">
        <f>IF((COLUMN()-2)=Inputs!$C$35,-Engine!$B$28,0)</f>
        <v>0</v>
      </c>
      <c r="N16" s="201">
        <f>IF((COLUMN()-2)=Inputs!$C$35,-Engine!$B$28,0)</f>
        <v>0</v>
      </c>
      <c r="O16" s="201">
        <f>IF((COLUMN()-2)=Inputs!$C$35,-Engine!$B$28,0)</f>
        <v>0</v>
      </c>
      <c r="P16" s="201">
        <f>IF((COLUMN()-2)=Inputs!$C$35,-Engine!$B$28,0)</f>
        <v>0</v>
      </c>
      <c r="Q16" s="201">
        <f>IF((COLUMN()-2)=Inputs!$C$35,-Engine!$B$28,0)</f>
        <v>0</v>
      </c>
      <c r="R16" s="201">
        <f>IF((COLUMN()-2)=Inputs!$C$35,-Engine!$B$28,0)</f>
        <v>0</v>
      </c>
      <c r="S16" s="201">
        <f>IF((COLUMN()-2)=Inputs!$C$35,-Engine!$B$28,0)</f>
        <v>0</v>
      </c>
      <c r="T16" s="201">
        <f>IF((COLUMN()-2)=Inputs!$C$35,-Engine!$B$28,0)</f>
        <v>0</v>
      </c>
      <c r="U16" s="201">
        <f>IF((COLUMN()-2)=Inputs!$C$35,-Engine!$B$28,0)</f>
        <v>0</v>
      </c>
      <c r="V16" s="201">
        <f>IF((COLUMN()-2)=Inputs!$C$35,-Engine!$B$28,0)</f>
        <v>0</v>
      </c>
      <c r="W16" s="201">
        <f>IF((COLUMN()-2)=Inputs!$C$35,-Engine!$B$28,0)</f>
        <v>0</v>
      </c>
      <c r="X16" s="201">
        <f>IF((COLUMN()-2)=Inputs!$C$35,-Engine!$B$28,0)</f>
        <v>0</v>
      </c>
      <c r="Y16" s="201">
        <f>IF((COLUMN()-2)=Inputs!$C$35,-Engine!$B$28,0)</f>
        <v>0</v>
      </c>
      <c r="Z16" s="201">
        <f>IF((COLUMN()-2)=Inputs!$C$35,-Engine!$B$28,0)</f>
        <v>0</v>
      </c>
      <c r="AA16" s="201">
        <f>IF((COLUMN()-2)=Inputs!$C$35,-Engine!$B$28,0)</f>
        <v>0</v>
      </c>
      <c r="AB16" s="201">
        <f>IF((COLUMN()-2)=Inputs!$C$35,-Engine!$B$28,0)</f>
        <v>0</v>
      </c>
      <c r="AC16" s="201">
        <f>IF((COLUMN()-2)=Inputs!$C$35,-Engine!$B$28,0)</f>
        <v>0</v>
      </c>
      <c r="AD16" s="201">
        <f>IF((COLUMN()-2)=Inputs!$C$35,-Engine!$B$28,0)</f>
        <v>0</v>
      </c>
      <c r="AE16" s="201">
        <f>IF((COLUMN()-2)=Inputs!$C$35,-Engine!$B$28,0)</f>
        <v>0</v>
      </c>
      <c r="AF16" s="201">
        <f>IF((COLUMN()-2)=Inputs!$C$35,-Engine!$B$28,0)</f>
        <v>0</v>
      </c>
      <c r="AG16" s="202" cm="1">
        <f t="array" ref="AG16">SUMPRODUCT((YEAR($C$4:$AF$4)=AG$4)*$C16:$AF16)</f>
        <v>0</v>
      </c>
      <c r="AH16" s="202" cm="1">
        <f t="array" ref="AH16">SUMPRODUCT((YEAR($C$4:$AF$4)=AH$4)*$C16:$AF16)</f>
        <v>0</v>
      </c>
      <c r="AI16" s="202" cm="1">
        <f t="array" ref="AI16">SUMPRODUCT((YEAR($C$4:$AF$4)=AI$4)*$C16:$AF16)</f>
        <v>0</v>
      </c>
      <c r="AJ16" s="202" cm="1">
        <f t="array" ref="AJ16">SUMPRODUCT((YEAR($C$4:$AF$4)=AJ$4)*$C16:$AF16)</f>
        <v>0</v>
      </c>
      <c r="AK16" s="202">
        <f t="shared" si="1"/>
        <v>0</v>
      </c>
    </row>
    <row r="17" spans="1:37" x14ac:dyDescent="0.25">
      <c r="A17" s="200"/>
      <c r="B17" s="200" t="s">
        <v>253</v>
      </c>
      <c r="C17" s="201">
        <f>IF((COLUMN()-2)=1,-Engine!$B$18,0)</f>
        <v>-26043.218999999997</v>
      </c>
      <c r="D17" s="201">
        <f>IF((COLUMN()-2)=1,-Engine!$B$18,0)</f>
        <v>0</v>
      </c>
      <c r="E17" s="201">
        <f>IF((COLUMN()-2)=1,-Engine!$B$18,0)</f>
        <v>0</v>
      </c>
      <c r="F17" s="201">
        <f>IF((COLUMN()-2)=1,-Engine!$B$18,0)</f>
        <v>0</v>
      </c>
      <c r="G17" s="201">
        <f>IF((COLUMN()-2)=1,-Engine!$B$18,0)</f>
        <v>0</v>
      </c>
      <c r="H17" s="201">
        <f>IF((COLUMN()-2)=1,-Engine!$B$18,0)</f>
        <v>0</v>
      </c>
      <c r="I17" s="201">
        <f>IF((COLUMN()-2)=1,-Engine!$B$18,0)</f>
        <v>0</v>
      </c>
      <c r="J17" s="201">
        <f>IF((COLUMN()-2)=1,-Engine!$B$18,0)</f>
        <v>0</v>
      </c>
      <c r="K17" s="201">
        <f>IF((COLUMN()-2)=1,-Engine!$B$18,0)</f>
        <v>0</v>
      </c>
      <c r="L17" s="201">
        <f>IF((COLUMN()-2)=1,-Engine!$B$18,0)</f>
        <v>0</v>
      </c>
      <c r="M17" s="201">
        <f>IF((COLUMN()-2)=1,-Engine!$B$18,0)</f>
        <v>0</v>
      </c>
      <c r="N17" s="201">
        <f>IF((COLUMN()-2)=1,-Engine!$B$18,0)</f>
        <v>0</v>
      </c>
      <c r="O17" s="201">
        <f>IF((COLUMN()-2)=1,-Engine!$B$18,0)</f>
        <v>0</v>
      </c>
      <c r="P17" s="201">
        <f>IF((COLUMN()-2)=1,-Engine!$B$18,0)</f>
        <v>0</v>
      </c>
      <c r="Q17" s="201">
        <f>IF((COLUMN()-2)=1,-Engine!$B$18,0)</f>
        <v>0</v>
      </c>
      <c r="R17" s="201">
        <f>IF((COLUMN()-2)=1,-Engine!$B$18,0)</f>
        <v>0</v>
      </c>
      <c r="S17" s="201">
        <f>IF((COLUMN()-2)=1,-Engine!$B$18,0)</f>
        <v>0</v>
      </c>
      <c r="T17" s="201">
        <f>IF((COLUMN()-2)=1,-Engine!$B$18,0)</f>
        <v>0</v>
      </c>
      <c r="U17" s="201">
        <f>IF((COLUMN()-2)=1,-Engine!$B$18,0)</f>
        <v>0</v>
      </c>
      <c r="V17" s="201">
        <f>IF((COLUMN()-2)=1,-Engine!$B$18,0)</f>
        <v>0</v>
      </c>
      <c r="W17" s="201">
        <f>IF((COLUMN()-2)=1,-Engine!$B$18,0)</f>
        <v>0</v>
      </c>
      <c r="X17" s="201">
        <f>IF((COLUMN()-2)=1,-Engine!$B$18,0)</f>
        <v>0</v>
      </c>
      <c r="Y17" s="201">
        <f>IF((COLUMN()-2)=1,-Engine!$B$18,0)</f>
        <v>0</v>
      </c>
      <c r="Z17" s="201">
        <f>IF((COLUMN()-2)=1,-Engine!$B$18,0)</f>
        <v>0</v>
      </c>
      <c r="AA17" s="201">
        <f>IF((COLUMN()-2)=1,-Engine!$B$18,0)</f>
        <v>0</v>
      </c>
      <c r="AB17" s="201">
        <f>IF((COLUMN()-2)=1,-Engine!$B$18,0)</f>
        <v>0</v>
      </c>
      <c r="AC17" s="201">
        <f>IF((COLUMN()-2)=1,-Engine!$B$18,0)</f>
        <v>0</v>
      </c>
      <c r="AD17" s="201">
        <f>IF((COLUMN()-2)=1,-Engine!$B$18,0)</f>
        <v>0</v>
      </c>
      <c r="AE17" s="201">
        <f>IF((COLUMN()-2)=1,-Engine!$B$18,0)</f>
        <v>0</v>
      </c>
      <c r="AF17" s="201">
        <f>IF((COLUMN()-2)=1,-Engine!$B$18,0)</f>
        <v>0</v>
      </c>
      <c r="AG17" s="202" cm="1">
        <f t="array" ref="AG17">SUMPRODUCT((YEAR($C$4:$AF$4)=AG$4)*$C17:$AF17)</f>
        <v>-26043.218999999997</v>
      </c>
      <c r="AH17" s="202" cm="1">
        <f t="array" ref="AH17">SUMPRODUCT((YEAR($C$4:$AF$4)=AH$4)*$C17:$AF17)</f>
        <v>0</v>
      </c>
      <c r="AI17" s="202" cm="1">
        <f t="array" ref="AI17">SUMPRODUCT((YEAR($C$4:$AF$4)=AI$4)*$C17:$AF17)</f>
        <v>0</v>
      </c>
      <c r="AJ17" s="202" cm="1">
        <f t="array" ref="AJ17">SUMPRODUCT((YEAR($C$4:$AF$4)=AJ$4)*$C17:$AF17)</f>
        <v>0</v>
      </c>
      <c r="AK17" s="202">
        <f t="shared" si="1"/>
        <v>-26043.218999999997</v>
      </c>
    </row>
    <row r="18" spans="1:37" x14ac:dyDescent="0.25">
      <c r="A18" s="200"/>
      <c r="B18" s="200" t="s">
        <v>254</v>
      </c>
      <c r="C18" s="201">
        <f>IF((COLUMN()-2)=Inputs!$C$35,-Engine!$B$19,0)</f>
        <v>0</v>
      </c>
      <c r="D18" s="201">
        <f>IF((COLUMN()-2)=Inputs!$C$35,-Engine!$B$19,0)</f>
        <v>0</v>
      </c>
      <c r="E18" s="201">
        <f>IF((COLUMN()-2)=Inputs!$C$35,-Engine!$B$19,0)</f>
        <v>0</v>
      </c>
      <c r="F18" s="201">
        <f>IF((COLUMN()-2)=Inputs!$C$35,-Engine!$B$19,0)</f>
        <v>0</v>
      </c>
      <c r="G18" s="201">
        <f>IF((COLUMN()-2)=Inputs!$C$35,-Engine!$B$19,0)</f>
        <v>0</v>
      </c>
      <c r="H18" s="201">
        <f>IF((COLUMN()-2)=Inputs!$C$35,-Engine!$B$19,0)</f>
        <v>0</v>
      </c>
      <c r="I18" s="201">
        <f>IF((COLUMN()-2)=Inputs!$C$35,-Engine!$B$19,0)</f>
        <v>0</v>
      </c>
      <c r="J18" s="201">
        <f>IF((COLUMN()-2)=Inputs!$C$35,-Engine!$B$19,0)</f>
        <v>0</v>
      </c>
      <c r="K18" s="201">
        <f>IF((COLUMN()-2)=Inputs!$C$35,-Engine!$B$19,0)</f>
        <v>0</v>
      </c>
      <c r="L18" s="201">
        <f>IF((COLUMN()-2)=Inputs!$C$35,-Engine!$B$19,0)</f>
        <v>0</v>
      </c>
      <c r="M18" s="201">
        <f>IF((COLUMN()-2)=Inputs!$C$35,-Engine!$B$19,0)</f>
        <v>0</v>
      </c>
      <c r="N18" s="201">
        <f>IF((COLUMN()-2)=Inputs!$C$35,-Engine!$B$19,0)</f>
        <v>0</v>
      </c>
      <c r="O18" s="201">
        <f>IF((COLUMN()-2)=Inputs!$C$35,-Engine!$B$19,0)</f>
        <v>0</v>
      </c>
      <c r="P18" s="201">
        <f>IF((COLUMN()-2)=Inputs!$C$35,-Engine!$B$19,0)</f>
        <v>0</v>
      </c>
      <c r="Q18" s="201">
        <f>IF((COLUMN()-2)=Inputs!$C$35,-Engine!$B$19,0)</f>
        <v>0</v>
      </c>
      <c r="R18" s="201">
        <f>IF((COLUMN()-2)=Inputs!$C$35,-Engine!$B$19,0)</f>
        <v>0</v>
      </c>
      <c r="S18" s="201">
        <f>IF((COLUMN()-2)=Inputs!$C$35,-Engine!$B$19,0)</f>
        <v>0</v>
      </c>
      <c r="T18" s="201">
        <f>IF((COLUMN()-2)=Inputs!$C$35,-Engine!$B$19,0)</f>
        <v>0</v>
      </c>
      <c r="U18" s="201">
        <f>IF((COLUMN()-2)=Inputs!$C$35,-Engine!$B$19,0)</f>
        <v>0</v>
      </c>
      <c r="V18" s="201">
        <f>IF((COLUMN()-2)=Inputs!$C$35,-Engine!$B$19,0)</f>
        <v>0</v>
      </c>
      <c r="W18" s="201">
        <f>IF((COLUMN()-2)=Inputs!$C$35,-Engine!$B$19,0)</f>
        <v>0</v>
      </c>
      <c r="X18" s="201">
        <f>IF((COLUMN()-2)=Inputs!$C$35,-Engine!$B$19,0)</f>
        <v>0</v>
      </c>
      <c r="Y18" s="201">
        <f>IF((COLUMN()-2)=Inputs!$C$35,-Engine!$B$19,0)</f>
        <v>0</v>
      </c>
      <c r="Z18" s="201">
        <f>IF((COLUMN()-2)=Inputs!$C$35,-Engine!$B$19,0)</f>
        <v>0</v>
      </c>
      <c r="AA18" s="201">
        <f>IF((COLUMN()-2)=Inputs!$C$35,-Engine!$B$19,0)</f>
        <v>0</v>
      </c>
      <c r="AB18" s="201">
        <f>IF((COLUMN()-2)=Inputs!$C$35,-Engine!$B$19,0)</f>
        <v>0</v>
      </c>
      <c r="AC18" s="201">
        <f>IF((COLUMN()-2)=Inputs!$C$35,-Engine!$B$19,0)</f>
        <v>0</v>
      </c>
      <c r="AD18" s="201">
        <f>IF((COLUMN()-2)=Inputs!$C$35,-Engine!$B$19,0)</f>
        <v>0</v>
      </c>
      <c r="AE18" s="201">
        <f>IF((COLUMN()-2)=Inputs!$C$35,-Engine!$B$19,0)</f>
        <v>0</v>
      </c>
      <c r="AF18" s="201">
        <f>IF((COLUMN()-2)=Inputs!$C$35,-Engine!$B$19,0)</f>
        <v>-18569.87144567207</v>
      </c>
      <c r="AG18" s="202" cm="1">
        <f t="array" ref="AG18">SUMPRODUCT((YEAR($C$4:$AF$4)=AG$4)*$C18:$AF18)</f>
        <v>0</v>
      </c>
      <c r="AH18" s="202" cm="1">
        <f t="array" ref="AH18">SUMPRODUCT((YEAR($C$4:$AF$4)=AH$4)*$C18:$AF18)</f>
        <v>0</v>
      </c>
      <c r="AI18" s="202" cm="1">
        <f t="array" ref="AI18">SUMPRODUCT((YEAR($C$4:$AF$4)=AI$4)*$C18:$AF18)</f>
        <v>-18569.87144567207</v>
      </c>
      <c r="AJ18" s="202" cm="1">
        <f t="array" ref="AJ18">SUMPRODUCT((YEAR($C$4:$AF$4)=AJ$4)*$C18:$AF18)</f>
        <v>0</v>
      </c>
      <c r="AK18" s="202">
        <f t="shared" si="1"/>
        <v>-18569.87144567207</v>
      </c>
    </row>
    <row r="19" spans="1:37" x14ac:dyDescent="0.25">
      <c r="A19" s="203"/>
      <c r="B19" s="203" t="s">
        <v>544</v>
      </c>
      <c r="C19" s="204">
        <f>SUM(C15:C18)-IF(AND((COLUMN()-2)&gt;Inputs!$C$34,(COLUMN()-2)&lt;=Inputs!$C$35),Inputs!$C$86,0)</f>
        <v>-26043.218999999997</v>
      </c>
      <c r="D19" s="204">
        <f>SUM(D15:D18)-IF(AND((COLUMN()-2)&gt;Inputs!$C$34,(COLUMN()-2)&lt;=Inputs!$C$35),Inputs!$C$86,0)</f>
        <v>-92.931374999999989</v>
      </c>
      <c r="E19" s="204">
        <f>SUM(E15:E18)-IF(AND((COLUMN()-2)&gt;Inputs!$C$34,(COLUMN()-2)&lt;=Inputs!$C$35),Inputs!$C$86,0)</f>
        <v>-186.55973531249998</v>
      </c>
      <c r="F19" s="204">
        <f>SUM(F15:F18)-IF(AND((COLUMN()-2)&gt;Inputs!$C$34,(COLUMN()-2)&lt;=Inputs!$C$35),Inputs!$C$86,0)</f>
        <v>-280.89030832734369</v>
      </c>
      <c r="G19" s="204">
        <f>SUM(G15:G18)-IF(AND((COLUMN()-2)&gt;Inputs!$C$34,(COLUMN()-2)&lt;=Inputs!$C$35),Inputs!$C$86,0)</f>
        <v>-375.92836063979877</v>
      </c>
      <c r="H19" s="204">
        <f>SUM(H15:H18)-IF(AND((COLUMN()-2)&gt;Inputs!$C$34,(COLUMN()-2)&lt;=Inputs!$C$35),Inputs!$C$86,0)</f>
        <v>-471.6791983445973</v>
      </c>
      <c r="I19" s="204">
        <f>SUM(I15:I18)-IF(AND((COLUMN()-2)&gt;Inputs!$C$34,(COLUMN()-2)&lt;=Inputs!$C$35),Inputs!$C$86,0)</f>
        <v>-568.14816733218163</v>
      </c>
      <c r="J19" s="204">
        <f>SUM(J15:J18)-IF(AND((COLUMN()-2)&gt;Inputs!$C$34,(COLUMN()-2)&lt;=Inputs!$C$35),Inputs!$C$86,0)</f>
        <v>-1391.818528587173</v>
      </c>
      <c r="K19" s="204">
        <f>SUM(K15:K18)-IF(AND((COLUMN()-2)&gt;Inputs!$C$34,(COLUMN()-2)&lt;=Inputs!$C$35),Inputs!$C$86,0)</f>
        <v>-2221.6664175515766</v>
      </c>
      <c r="L19" s="204">
        <f>SUM(L15:L18)-IF(AND((COLUMN()-2)&gt;Inputs!$C$34,(COLUMN()-2)&lt;=Inputs!$C$35),Inputs!$C$86,0)</f>
        <v>-3057.7381656832135</v>
      </c>
      <c r="M19" s="204">
        <f>SUM(M15:M18)-IF(AND((COLUMN()-2)&gt;Inputs!$C$34,(COLUMN()-2)&lt;=Inputs!$C$35),Inputs!$C$86,0)</f>
        <v>-3900.0804519258372</v>
      </c>
      <c r="N19" s="204">
        <f>SUM(N15:N18)-IF(AND((COLUMN()-2)&gt;Inputs!$C$34,(COLUMN()-2)&lt;=Inputs!$C$35),Inputs!$C$86,0)</f>
        <v>-4748.7403053152802</v>
      </c>
      <c r="O19" s="204">
        <f>SUM(O15:O18)-IF(AND((COLUMN()-2)&gt;Inputs!$C$34,(COLUMN()-2)&lt;=Inputs!$C$35),Inputs!$C$86,0)</f>
        <v>-5603.7651076051443</v>
      </c>
      <c r="P19" s="204">
        <f>SUM(P15:P18)-IF(AND((COLUMN()-2)&gt;Inputs!$C$34,(COLUMN()-2)&lt;=Inputs!$C$35),Inputs!$C$86,0)</f>
        <v>-6465.2025959121829</v>
      </c>
      <c r="Q19" s="204">
        <f>SUM(Q15:Q18)-IF(AND((COLUMN()-2)&gt;Inputs!$C$34,(COLUMN()-2)&lt;=Inputs!$C$35),Inputs!$C$86,0)</f>
        <v>-7333.1008653815243</v>
      </c>
      <c r="R19" s="204">
        <f>SUM(R15:R18)-IF(AND((COLUMN()-2)&gt;Inputs!$C$34,(COLUMN()-2)&lt;=Inputs!$C$35),Inputs!$C$86,0)</f>
        <v>-8207.5083718718852</v>
      </c>
      <c r="S19" s="204">
        <f>SUM(S15:S18)-IF(AND((COLUMN()-2)&gt;Inputs!$C$34,(COLUMN()-2)&lt;=Inputs!$C$35),Inputs!$C$86,0)</f>
        <v>-9088.473934660924</v>
      </c>
      <c r="T19" s="204">
        <f>SUM(T15:T18)-IF(AND((COLUMN()-2)&gt;Inputs!$C$34,(COLUMN()-2)&lt;=Inputs!$C$35),Inputs!$C$86,0)</f>
        <v>-9976.0467391708808</v>
      </c>
      <c r="U19" s="204">
        <f>SUM(U15:U18)-IF(AND((COLUMN()-2)&gt;Inputs!$C$34,(COLUMN()-2)&lt;=Inputs!$C$35),Inputs!$C$86,0)</f>
        <v>-10870.276339714661</v>
      </c>
      <c r="V19" s="204">
        <f>SUM(V15:V18)-IF(AND((COLUMN()-2)&gt;Inputs!$C$34,(COLUMN()-2)&lt;=Inputs!$C$35),Inputs!$C$86,0)</f>
        <v>-11771.212662262522</v>
      </c>
      <c r="W19" s="204">
        <f>SUM(W15:W18)-IF(AND((COLUMN()-2)&gt;Inputs!$C$34,(COLUMN()-2)&lt;=Inputs!$C$35),Inputs!$C$86,0)</f>
        <v>-12678.906007229491</v>
      </c>
      <c r="X19" s="204">
        <f>SUM(X15:X18)-IF(AND((COLUMN()-2)&gt;Inputs!$C$34,(COLUMN()-2)&lt;=Inputs!$C$35),Inputs!$C$86,0)</f>
        <v>-13021.609499999999</v>
      </c>
      <c r="Y19" s="204">
        <f>SUM(Y15:Y18)-IF(AND((COLUMN()-2)&gt;Inputs!$C$34,(COLUMN()-2)&lt;=Inputs!$C$35),Inputs!$C$86,0)</f>
        <v>-13119.271571249999</v>
      </c>
      <c r="Z19" s="204">
        <f>SUM(Z15:Z18)-IF(AND((COLUMN()-2)&gt;Inputs!$C$34,(COLUMN()-2)&lt;=Inputs!$C$35),Inputs!$C$86,0)</f>
        <v>-13217.666108034373</v>
      </c>
      <c r="AA19" s="204">
        <f>SUM(AA15:AA18)-IF(AND((COLUMN()-2)&gt;Inputs!$C$34,(COLUMN()-2)&lt;=Inputs!$C$35),Inputs!$C$86,0)</f>
        <v>-13316.798603844631</v>
      </c>
      <c r="AB19" s="204">
        <f>SUM(AB15:AB18)-IF(AND((COLUMN()-2)&gt;Inputs!$C$34,(COLUMN()-2)&lt;=Inputs!$C$35),Inputs!$C$86,0)</f>
        <v>-13416.674593373466</v>
      </c>
      <c r="AC19" s="204">
        <f>SUM(AC15:AC18)-IF(AND((COLUMN()-2)&gt;Inputs!$C$34,(COLUMN()-2)&lt;=Inputs!$C$35),Inputs!$C$86,0)</f>
        <v>-13517.299652823765</v>
      </c>
      <c r="AD19" s="204">
        <f>SUM(AD15:AD18)-IF(AND((COLUMN()-2)&gt;Inputs!$C$34,(COLUMN()-2)&lt;=Inputs!$C$35),Inputs!$C$86,0)</f>
        <v>-13618.679400219944</v>
      </c>
      <c r="AE19" s="204">
        <f>SUM(AE15:AE18)-IF(AND((COLUMN()-2)&gt;Inputs!$C$34,(COLUMN()-2)&lt;=Inputs!$C$35),Inputs!$C$86,0)</f>
        <v>-13720.819495721595</v>
      </c>
      <c r="AF19" s="204">
        <f>SUM(AF15:AF18)-IF(AND((COLUMN()-2)&gt;Inputs!$C$34,(COLUMN()-2)&lt;=Inputs!$C$35),Inputs!$C$86,0)</f>
        <v>-32393.597087611575</v>
      </c>
      <c r="AG19" s="204" cm="1">
        <f t="array" ref="AG19">SUMPRODUCT((YEAR($C$4:$AF$4)=AG$4)*$C19:$AF19)</f>
        <v>-27451.207977624239</v>
      </c>
      <c r="AH19" s="204" cm="1">
        <f t="array" ref="AH19">SUMPRODUCT((YEAR($C$4:$AF$4)=AH$4)*$C19:$AF19)</f>
        <v>-62562.289650997802</v>
      </c>
      <c r="AI19" s="204" cm="1">
        <f t="array" ref="AI19">SUMPRODUCT((YEAR($C$4:$AF$4)=AI$4)*$C19:$AF19)</f>
        <v>-174662.81102208601</v>
      </c>
      <c r="AJ19" s="204" cm="1">
        <f t="array" ref="AJ19">SUMPRODUCT((YEAR($C$4:$AF$4)=AJ$4)*$C19:$AF19)</f>
        <v>0</v>
      </c>
      <c r="AK19" s="204">
        <f t="shared" si="1"/>
        <v>-264676.30865070806</v>
      </c>
    </row>
    <row r="20" spans="1:37" x14ac:dyDescent="0.25">
      <c r="A20" s="199" t="s">
        <v>255</v>
      </c>
      <c r="B20" s="200" t="s">
        <v>256</v>
      </c>
      <c r="C20" s="201">
        <f>IF((COLUMN()-2)=Inputs!$C$35,Inputs!$C$25/(1-Inputs!$C$24)-Engine!$B$30/(1-Inputs!$C$24),0)+Engine!C6/(1-Inputs!$C$24)</f>
        <v>0</v>
      </c>
      <c r="D20" s="201">
        <f>IF((COLUMN()-2)=Inputs!$C$35,Inputs!$C$25/(1-Inputs!$C$24)-Engine!$B$30/(1-Inputs!$C$24),0)+Engine!D6/(1-Inputs!$C$24)</f>
        <v>0</v>
      </c>
      <c r="E20" s="201">
        <f>IF((COLUMN()-2)=Inputs!$C$35,Inputs!$C$25/(1-Inputs!$C$24)-Engine!$B$30/(1-Inputs!$C$24),0)+Engine!E6/(1-Inputs!$C$24)</f>
        <v>0</v>
      </c>
      <c r="F20" s="201">
        <f>IF((COLUMN()-2)=Inputs!$C$35,Inputs!$C$25/(1-Inputs!$C$24)-Engine!$B$30/(1-Inputs!$C$24),0)+Engine!F6/(1-Inputs!$C$24)</f>
        <v>0</v>
      </c>
      <c r="G20" s="201">
        <f>IF((COLUMN()-2)=Inputs!$C$35,Inputs!$C$25/(1-Inputs!$C$24)-Engine!$B$30/(1-Inputs!$C$24),0)+Engine!G6/(1-Inputs!$C$24)</f>
        <v>0</v>
      </c>
      <c r="H20" s="201">
        <f>IF((COLUMN()-2)=Inputs!$C$35,Inputs!$C$25/(1-Inputs!$C$24)-Engine!$B$30/(1-Inputs!$C$24),0)+Engine!H6/(1-Inputs!$C$24)</f>
        <v>0</v>
      </c>
      <c r="I20" s="201">
        <f>IF((COLUMN()-2)=Inputs!$C$35,Inputs!$C$25/(1-Inputs!$C$24)-Engine!$B$30/(1-Inputs!$C$24),0)+Engine!I6/(1-Inputs!$C$24)</f>
        <v>0</v>
      </c>
      <c r="J20" s="201">
        <f>IF((COLUMN()-2)=Inputs!$C$35,Inputs!$C$25/(1-Inputs!$C$24)-Engine!$B$30/(1-Inputs!$C$24),0)+Engine!J6/(1-Inputs!$C$24)</f>
        <v>0</v>
      </c>
      <c r="K20" s="201">
        <f>IF((COLUMN()-2)=Inputs!$C$35,Inputs!$C$25/(1-Inputs!$C$24)-Engine!$B$30/(1-Inputs!$C$24),0)+Engine!K6/(1-Inputs!$C$24)</f>
        <v>0</v>
      </c>
      <c r="L20" s="201">
        <f>IF((COLUMN()-2)=Inputs!$C$35,Inputs!$C$25/(1-Inputs!$C$24)-Engine!$B$30/(1-Inputs!$C$24),0)+Engine!L6/(1-Inputs!$C$24)</f>
        <v>0</v>
      </c>
      <c r="M20" s="201">
        <f>IF((COLUMN()-2)=Inputs!$C$35,Inputs!$C$25/(1-Inputs!$C$24)-Engine!$B$30/(1-Inputs!$C$24),0)+Engine!M6/(1-Inputs!$C$24)</f>
        <v>0</v>
      </c>
      <c r="N20" s="201">
        <f>IF((COLUMN()-2)=Inputs!$C$35,Inputs!$C$25/(1-Inputs!$C$24)-Engine!$B$30/(1-Inputs!$C$24),0)+Engine!N6/(1-Inputs!$C$24)</f>
        <v>0</v>
      </c>
      <c r="O20" s="201">
        <f>IF((COLUMN()-2)=Inputs!$C$35,Inputs!$C$25/(1-Inputs!$C$24)-Engine!$B$30/(1-Inputs!$C$24),0)+Engine!O6/(1-Inputs!$C$24)</f>
        <v>0</v>
      </c>
      <c r="P20" s="201">
        <f>IF((COLUMN()-2)=Inputs!$C$35,Inputs!$C$25/(1-Inputs!$C$24)-Engine!$B$30/(1-Inputs!$C$24),0)+Engine!P6/(1-Inputs!$C$24)</f>
        <v>0</v>
      </c>
      <c r="Q20" s="201">
        <f>IF((COLUMN()-2)=Inputs!$C$35,Inputs!$C$25/(1-Inputs!$C$24)-Engine!$B$30/(1-Inputs!$C$24),0)+Engine!Q6/(1-Inputs!$C$24)</f>
        <v>0</v>
      </c>
      <c r="R20" s="201">
        <f>IF((COLUMN()-2)=Inputs!$C$35,Inputs!$C$25/(1-Inputs!$C$24)-Engine!$B$30/(1-Inputs!$C$24),0)+Engine!R6/(1-Inputs!$C$24)</f>
        <v>0</v>
      </c>
      <c r="S20" s="201">
        <f>IF((COLUMN()-2)=Inputs!$C$35,Inputs!$C$25/(1-Inputs!$C$24)-Engine!$B$30/(1-Inputs!$C$24),0)+Engine!S6/(1-Inputs!$C$24)</f>
        <v>0</v>
      </c>
      <c r="T20" s="201">
        <f>IF((COLUMN()-2)=Inputs!$C$35,Inputs!$C$25/(1-Inputs!$C$24)-Engine!$B$30/(1-Inputs!$C$24),0)+Engine!T6/(1-Inputs!$C$24)</f>
        <v>0</v>
      </c>
      <c r="U20" s="201">
        <f>IF((COLUMN()-2)=Inputs!$C$35,Inputs!$C$25/(1-Inputs!$C$24)-Engine!$B$30/(1-Inputs!$C$24),0)+Engine!U6/(1-Inputs!$C$24)</f>
        <v>0</v>
      </c>
      <c r="V20" s="201">
        <f>IF((COLUMN()-2)=Inputs!$C$35,Inputs!$C$25/(1-Inputs!$C$24)-Engine!$B$30/(1-Inputs!$C$24),0)+Engine!V6/(1-Inputs!$C$24)</f>
        <v>0</v>
      </c>
      <c r="W20" s="201">
        <f>IF((COLUMN()-2)=Inputs!$C$35,Inputs!$C$25/(1-Inputs!$C$24)-Engine!$B$30/(1-Inputs!$C$24),0)+Engine!W6/(1-Inputs!$C$24)</f>
        <v>0</v>
      </c>
      <c r="X20" s="201">
        <f>IF((COLUMN()-2)=Inputs!$C$35,Inputs!$C$25/(1-Inputs!$C$24)-Engine!$B$30/(1-Inputs!$C$24),0)+Engine!X6/(1-Inputs!$C$24)</f>
        <v>0</v>
      </c>
      <c r="Y20" s="201">
        <f>IF((COLUMN()-2)=Inputs!$C$35,Inputs!$C$25/(1-Inputs!$C$24)-Engine!$B$30/(1-Inputs!$C$24),0)+Engine!Y6/(1-Inputs!$C$24)</f>
        <v>0</v>
      </c>
      <c r="Z20" s="201">
        <f>IF((COLUMN()-2)=Inputs!$C$35,Inputs!$C$25/(1-Inputs!$C$24)-Engine!$B$30/(1-Inputs!$C$24),0)+Engine!Z6/(1-Inputs!$C$24)</f>
        <v>0</v>
      </c>
      <c r="AA20" s="201">
        <f>IF((COLUMN()-2)=Inputs!$C$35,Inputs!$C$25/(1-Inputs!$C$24)-Engine!$B$30/(1-Inputs!$C$24),0)+Engine!AA6/(1-Inputs!$C$24)</f>
        <v>0</v>
      </c>
      <c r="AB20" s="201">
        <f>IF((COLUMN()-2)=Inputs!$C$35,Inputs!$C$25/(1-Inputs!$C$24)-Engine!$B$30/(1-Inputs!$C$24),0)+Engine!AB6/(1-Inputs!$C$24)</f>
        <v>0</v>
      </c>
      <c r="AC20" s="201">
        <f>IF((COLUMN()-2)=Inputs!$C$35,Inputs!$C$25/(1-Inputs!$C$24)-Engine!$B$30/(1-Inputs!$C$24),0)+Engine!AC6/(1-Inputs!$C$24)</f>
        <v>0</v>
      </c>
      <c r="AD20" s="201">
        <f>IF((COLUMN()-2)=Inputs!$C$35,Inputs!$C$25/(1-Inputs!$C$24)-Engine!$B$30/(1-Inputs!$C$24),0)+Engine!AD6/(1-Inputs!$C$24)</f>
        <v>0</v>
      </c>
      <c r="AE20" s="201">
        <f>IF((COLUMN()-2)=Inputs!$C$35,Inputs!$C$25/(1-Inputs!$C$24)-Engine!$B$30/(1-Inputs!$C$24),0)+Engine!AE6/(1-Inputs!$C$24)</f>
        <v>0</v>
      </c>
      <c r="AF20" s="201">
        <f>IF((COLUMN()-2)=Inputs!$C$35,Inputs!$C$25/(1-Inputs!$C$24)-Engine!$B$30/(1-Inputs!$C$24),0)+Engine!AF6/(1-Inputs!$C$24)</f>
        <v>3850000</v>
      </c>
      <c r="AG20" s="202" cm="1">
        <f t="array" ref="AG20">SUMPRODUCT((YEAR($C$4:$AF$4)=AG$4)*$C20:$AF20)</f>
        <v>0</v>
      </c>
      <c r="AH20" s="202" cm="1">
        <f t="array" ref="AH20">SUMPRODUCT((YEAR($C$4:$AF$4)=AH$4)*$C20:$AF20)</f>
        <v>0</v>
      </c>
      <c r="AI20" s="202" cm="1">
        <f t="array" ref="AI20">SUMPRODUCT((YEAR($C$4:$AF$4)=AI$4)*$C20:$AF20)</f>
        <v>3850000</v>
      </c>
      <c r="AJ20" s="202" cm="1">
        <f t="array" ref="AJ20">SUMPRODUCT((YEAR($C$4:$AF$4)=AJ$4)*$C20:$AF20)</f>
        <v>0</v>
      </c>
      <c r="AK20" s="202">
        <f t="shared" si="1"/>
        <v>3850000</v>
      </c>
    </row>
    <row r="21" spans="1:37" x14ac:dyDescent="0.25">
      <c r="A21" s="200"/>
      <c r="B21" s="200" t="s">
        <v>257</v>
      </c>
      <c r="C21" s="201">
        <f>-C20*Inputs!$C$24</f>
        <v>0</v>
      </c>
      <c r="D21" s="201">
        <f>-D20*Inputs!$C$24</f>
        <v>0</v>
      </c>
      <c r="E21" s="201">
        <f>-E20*Inputs!$C$24</f>
        <v>0</v>
      </c>
      <c r="F21" s="201">
        <f>-F20*Inputs!$C$24</f>
        <v>0</v>
      </c>
      <c r="G21" s="201">
        <f>-G20*Inputs!$C$24</f>
        <v>0</v>
      </c>
      <c r="H21" s="201">
        <f>-H20*Inputs!$C$24</f>
        <v>0</v>
      </c>
      <c r="I21" s="201">
        <f>-I20*Inputs!$C$24</f>
        <v>0</v>
      </c>
      <c r="J21" s="201">
        <f>-J20*Inputs!$C$24</f>
        <v>0</v>
      </c>
      <c r="K21" s="201">
        <f>-K20*Inputs!$C$24</f>
        <v>0</v>
      </c>
      <c r="L21" s="201">
        <f>-L20*Inputs!$C$24</f>
        <v>0</v>
      </c>
      <c r="M21" s="201">
        <f>-M20*Inputs!$C$24</f>
        <v>0</v>
      </c>
      <c r="N21" s="201">
        <f>-N20*Inputs!$C$24</f>
        <v>0</v>
      </c>
      <c r="O21" s="201">
        <f>-O20*Inputs!$C$24</f>
        <v>0</v>
      </c>
      <c r="P21" s="201">
        <f>-P20*Inputs!$C$24</f>
        <v>0</v>
      </c>
      <c r="Q21" s="201">
        <f>-Q20*Inputs!$C$24</f>
        <v>0</v>
      </c>
      <c r="R21" s="201">
        <f>-R20*Inputs!$C$24</f>
        <v>0</v>
      </c>
      <c r="S21" s="201">
        <f>-S20*Inputs!$C$24</f>
        <v>0</v>
      </c>
      <c r="T21" s="201">
        <f>-T20*Inputs!$C$24</f>
        <v>0</v>
      </c>
      <c r="U21" s="201">
        <f>-U20*Inputs!$C$24</f>
        <v>0</v>
      </c>
      <c r="V21" s="201">
        <f>-V20*Inputs!$C$24</f>
        <v>0</v>
      </c>
      <c r="W21" s="201">
        <f>-W20*Inputs!$C$24</f>
        <v>0</v>
      </c>
      <c r="X21" s="201">
        <f>-X20*Inputs!$C$24</f>
        <v>0</v>
      </c>
      <c r="Y21" s="201">
        <f>-Y20*Inputs!$C$24</f>
        <v>0</v>
      </c>
      <c r="Z21" s="201">
        <f>-Z20*Inputs!$C$24</f>
        <v>0</v>
      </c>
      <c r="AA21" s="201">
        <f>-AA20*Inputs!$C$24</f>
        <v>0</v>
      </c>
      <c r="AB21" s="201">
        <f>-AB20*Inputs!$C$24</f>
        <v>0</v>
      </c>
      <c r="AC21" s="201">
        <f>-AC20*Inputs!$C$24</f>
        <v>0</v>
      </c>
      <c r="AD21" s="201">
        <f>-AD20*Inputs!$C$24</f>
        <v>0</v>
      </c>
      <c r="AE21" s="201">
        <f>-AE20*Inputs!$C$24</f>
        <v>0</v>
      </c>
      <c r="AF21" s="201">
        <f>-AF20*Inputs!$C$24</f>
        <v>-77000</v>
      </c>
      <c r="AG21" s="202" cm="1">
        <f t="array" ref="AG21">SUMPRODUCT((YEAR($C$4:$AF$4)=AG$4)*$C21:$AF21)</f>
        <v>0</v>
      </c>
      <c r="AH21" s="202" cm="1">
        <f t="array" ref="AH21">SUMPRODUCT((YEAR($C$4:$AF$4)=AH$4)*$C21:$AF21)</f>
        <v>0</v>
      </c>
      <c r="AI21" s="202" cm="1">
        <f t="array" ref="AI21">SUMPRODUCT((YEAR($C$4:$AF$4)=AI$4)*$C21:$AF21)</f>
        <v>-77000</v>
      </c>
      <c r="AJ21" s="202" cm="1">
        <f t="array" ref="AJ21">SUMPRODUCT((YEAR($C$4:$AF$4)=AJ$4)*$C21:$AF21)</f>
        <v>0</v>
      </c>
      <c r="AK21" s="202">
        <f t="shared" si="1"/>
        <v>-77000</v>
      </c>
    </row>
    <row r="22" spans="1:37" x14ac:dyDescent="0.25">
      <c r="A22" s="203"/>
      <c r="B22" s="203" t="s">
        <v>258</v>
      </c>
      <c r="C22" s="204">
        <f>SUM(C20:C21)</f>
        <v>0</v>
      </c>
      <c r="D22" s="204">
        <f t="shared" ref="D22:AF22" si="5">SUM(D20:D21)</f>
        <v>0</v>
      </c>
      <c r="E22" s="204">
        <f t="shared" si="5"/>
        <v>0</v>
      </c>
      <c r="F22" s="204">
        <f t="shared" si="5"/>
        <v>0</v>
      </c>
      <c r="G22" s="204">
        <f t="shared" si="5"/>
        <v>0</v>
      </c>
      <c r="H22" s="204">
        <f t="shared" si="5"/>
        <v>0</v>
      </c>
      <c r="I22" s="204">
        <f t="shared" si="5"/>
        <v>0</v>
      </c>
      <c r="J22" s="204">
        <f t="shared" si="5"/>
        <v>0</v>
      </c>
      <c r="K22" s="204">
        <f t="shared" si="5"/>
        <v>0</v>
      </c>
      <c r="L22" s="204">
        <f t="shared" si="5"/>
        <v>0</v>
      </c>
      <c r="M22" s="204">
        <f t="shared" si="5"/>
        <v>0</v>
      </c>
      <c r="N22" s="204">
        <f t="shared" si="5"/>
        <v>0</v>
      </c>
      <c r="O22" s="204">
        <f t="shared" si="5"/>
        <v>0</v>
      </c>
      <c r="P22" s="204">
        <f t="shared" si="5"/>
        <v>0</v>
      </c>
      <c r="Q22" s="204">
        <f t="shared" si="5"/>
        <v>0</v>
      </c>
      <c r="R22" s="204">
        <f t="shared" si="5"/>
        <v>0</v>
      </c>
      <c r="S22" s="204">
        <f t="shared" si="5"/>
        <v>0</v>
      </c>
      <c r="T22" s="204">
        <f t="shared" si="5"/>
        <v>0</v>
      </c>
      <c r="U22" s="204">
        <f t="shared" si="5"/>
        <v>0</v>
      </c>
      <c r="V22" s="204">
        <f t="shared" si="5"/>
        <v>0</v>
      </c>
      <c r="W22" s="204">
        <f t="shared" si="5"/>
        <v>0</v>
      </c>
      <c r="X22" s="204">
        <f t="shared" si="5"/>
        <v>0</v>
      </c>
      <c r="Y22" s="204">
        <f t="shared" si="5"/>
        <v>0</v>
      </c>
      <c r="Z22" s="204">
        <f t="shared" si="5"/>
        <v>0</v>
      </c>
      <c r="AA22" s="204">
        <f t="shared" si="5"/>
        <v>0</v>
      </c>
      <c r="AB22" s="204">
        <f t="shared" si="5"/>
        <v>0</v>
      </c>
      <c r="AC22" s="204">
        <f t="shared" si="5"/>
        <v>0</v>
      </c>
      <c r="AD22" s="204">
        <f t="shared" si="5"/>
        <v>0</v>
      </c>
      <c r="AE22" s="204">
        <f t="shared" si="5"/>
        <v>0</v>
      </c>
      <c r="AF22" s="204">
        <f t="shared" si="5"/>
        <v>3773000</v>
      </c>
      <c r="AG22" s="204" cm="1">
        <f t="array" ref="AG22">SUMPRODUCT((YEAR($C$4:$AF$4)=AG$4)*$C22:$AF22)</f>
        <v>0</v>
      </c>
      <c r="AH22" s="204" cm="1">
        <f t="array" ref="AH22">SUMPRODUCT((YEAR($C$4:$AF$4)=AH$4)*$C22:$AF22)</f>
        <v>0</v>
      </c>
      <c r="AI22" s="204" cm="1">
        <f t="array" ref="AI22">SUMPRODUCT((YEAR($C$4:$AF$4)=AI$4)*$C22:$AF22)</f>
        <v>3773000</v>
      </c>
      <c r="AJ22" s="204" cm="1">
        <f t="array" ref="AJ22">SUMPRODUCT((YEAR($C$4:$AF$4)=AJ$4)*$C22:$AF22)</f>
        <v>0</v>
      </c>
      <c r="AK22" s="204">
        <f t="shared" si="1"/>
        <v>3773000</v>
      </c>
    </row>
    <row r="23" spans="1:37" x14ac:dyDescent="0.25">
      <c r="A23" s="200"/>
      <c r="B23" s="200"/>
      <c r="C23" s="201"/>
      <c r="D23" s="201"/>
      <c r="E23" s="201"/>
      <c r="F23" s="201"/>
      <c r="G23" s="201"/>
      <c r="H23" s="201"/>
      <c r="I23" s="201"/>
      <c r="J23" s="201"/>
      <c r="K23" s="201"/>
      <c r="L23" s="201"/>
      <c r="M23" s="201"/>
      <c r="N23" s="201"/>
      <c r="O23" s="201"/>
      <c r="P23" s="201"/>
      <c r="Q23" s="201"/>
      <c r="R23" s="201"/>
      <c r="S23" s="201"/>
      <c r="T23" s="201"/>
      <c r="U23" s="201"/>
      <c r="V23" s="201"/>
      <c r="W23" s="201"/>
      <c r="X23" s="201"/>
      <c r="Y23" s="201"/>
      <c r="Z23" s="201"/>
      <c r="AA23" s="201"/>
      <c r="AB23" s="201"/>
      <c r="AC23" s="201"/>
      <c r="AD23" s="201"/>
      <c r="AE23" s="201"/>
      <c r="AF23" s="201"/>
      <c r="AG23" s="202" cm="1">
        <f t="array" ref="AG23">SUMPRODUCT((YEAR($C$4:$AF$4)=AG$4)*$C23:$AF23)</f>
        <v>0</v>
      </c>
      <c r="AH23" s="202" cm="1">
        <f t="array" ref="AH23">SUMPRODUCT((YEAR($C$4:$AF$4)=AH$4)*$C23:$AF23)</f>
        <v>0</v>
      </c>
      <c r="AI23" s="202" cm="1">
        <f t="array" ref="AI23">SUMPRODUCT((YEAR($C$4:$AF$4)=AI$4)*$C23:$AF23)</f>
        <v>0</v>
      </c>
      <c r="AJ23" s="202" cm="1">
        <f t="array" ref="AJ23">SUMPRODUCT((YEAR($C$4:$AF$4)=AJ$4)*$C23:$AF23)</f>
        <v>0</v>
      </c>
      <c r="AK23" s="202">
        <f t="shared" si="1"/>
        <v>0</v>
      </c>
    </row>
    <row r="24" spans="1:37" x14ac:dyDescent="0.25">
      <c r="A24" s="205"/>
      <c r="B24" s="205" t="s">
        <v>259</v>
      </c>
      <c r="C24" s="206">
        <f>C8+C11+C14+C19+C22</f>
        <v>-563434.06900000002</v>
      </c>
      <c r="D24" s="206">
        <f t="shared" ref="D24:AF24" si="6">D8+D11+D14+D19+D22</f>
        <v>-12483.781374999999</v>
      </c>
      <c r="E24" s="206">
        <f t="shared" si="6"/>
        <v>-12577.409735312498</v>
      </c>
      <c r="F24" s="206">
        <f t="shared" si="6"/>
        <v>-12671.740308327342</v>
      </c>
      <c r="G24" s="206">
        <f t="shared" si="6"/>
        <v>-12766.778360639797</v>
      </c>
      <c r="H24" s="206">
        <f t="shared" si="6"/>
        <v>-12862.529198344595</v>
      </c>
      <c r="I24" s="206">
        <f t="shared" si="6"/>
        <v>-109822.71483399885</v>
      </c>
      <c r="J24" s="206">
        <f t="shared" si="6"/>
        <v>-110646.38519525384</v>
      </c>
      <c r="K24" s="206">
        <f t="shared" si="6"/>
        <v>-111476.23308421824</v>
      </c>
      <c r="L24" s="206">
        <f t="shared" si="6"/>
        <v>-112312.30483234988</v>
      </c>
      <c r="M24" s="206">
        <f t="shared" si="6"/>
        <v>-113154.6471185925</v>
      </c>
      <c r="N24" s="206">
        <f t="shared" si="6"/>
        <v>-114003.30697198195</v>
      </c>
      <c r="O24" s="206">
        <f t="shared" si="6"/>
        <v>-114858.33177427181</v>
      </c>
      <c r="P24" s="206">
        <f t="shared" si="6"/>
        <v>-115719.76926257885</v>
      </c>
      <c r="Q24" s="206">
        <f t="shared" si="6"/>
        <v>-116587.66753204819</v>
      </c>
      <c r="R24" s="206">
        <f t="shared" si="6"/>
        <v>-117462.07503853855</v>
      </c>
      <c r="S24" s="206">
        <f t="shared" si="6"/>
        <v>-118343.04060132759</v>
      </c>
      <c r="T24" s="206">
        <f t="shared" si="6"/>
        <v>-119230.61340583755</v>
      </c>
      <c r="U24" s="206">
        <f t="shared" si="6"/>
        <v>-120124.84300638133</v>
      </c>
      <c r="V24" s="206">
        <f t="shared" si="6"/>
        <v>-121025.77932892919</v>
      </c>
      <c r="W24" s="206">
        <f t="shared" si="6"/>
        <v>-121933.47267389616</v>
      </c>
      <c r="X24" s="206">
        <f t="shared" si="6"/>
        <v>-122276.17616666667</v>
      </c>
      <c r="Y24" s="206">
        <f t="shared" si="6"/>
        <v>-122373.83823791667</v>
      </c>
      <c r="Z24" s="206">
        <f t="shared" si="6"/>
        <v>-122472.23277470104</v>
      </c>
      <c r="AA24" s="206">
        <f t="shared" si="6"/>
        <v>-122571.36527051129</v>
      </c>
      <c r="AB24" s="206">
        <f t="shared" si="6"/>
        <v>-122671.24126004013</v>
      </c>
      <c r="AC24" s="206">
        <f t="shared" si="6"/>
        <v>-122771.86631949044</v>
      </c>
      <c r="AD24" s="206">
        <f t="shared" si="6"/>
        <v>-13618.679400219944</v>
      </c>
      <c r="AE24" s="206">
        <f t="shared" si="6"/>
        <v>-13720.819495721595</v>
      </c>
      <c r="AF24" s="206">
        <f t="shared" si="6"/>
        <v>3740606.4029123886</v>
      </c>
      <c r="AG24" s="207" cm="1">
        <f t="array" ref="AG24">SUMPRODUCT((YEAR($C$4:$AF$4)=AG$4)*$C24:$AF24)</f>
        <v>-626796.30797762424</v>
      </c>
      <c r="AH24" s="207" cm="1">
        <f t="array" ref="AH24">SUMPRODUCT((YEAR($C$4:$AF$4)=AH$4)*$C24:$AF24)</f>
        <v>-1373617.0896509977</v>
      </c>
      <c r="AI24" s="207" cm="1">
        <f t="array" ref="AI24">SUMPRODUCT((YEAR($C$4:$AF$4)=AI$4)*$C24:$AF24)</f>
        <v>2615046.0889779143</v>
      </c>
      <c r="AJ24" s="207" cm="1">
        <f t="array" ref="AJ24">SUMPRODUCT((YEAR($C$4:$AF$4)=AJ$4)*$C24:$AF24)</f>
        <v>0</v>
      </c>
      <c r="AK24" s="207">
        <f t="shared" si="1"/>
        <v>614632.69134929217</v>
      </c>
    </row>
    <row r="25" spans="1:37" x14ac:dyDescent="0.25">
      <c r="A25" s="208"/>
      <c r="B25" s="208" t="s">
        <v>260</v>
      </c>
      <c r="C25" s="209">
        <f>C24</f>
        <v>-563434.06900000002</v>
      </c>
      <c r="D25" s="209">
        <f>C25+D24</f>
        <v>-575917.85037500004</v>
      </c>
      <c r="E25" s="209">
        <f t="shared" ref="E25:AF25" si="7">D25+E24</f>
        <v>-588495.26011031249</v>
      </c>
      <c r="F25" s="209">
        <f t="shared" si="7"/>
        <v>-601167.00041863986</v>
      </c>
      <c r="G25" s="209">
        <f t="shared" si="7"/>
        <v>-613933.77877927967</v>
      </c>
      <c r="H25" s="209">
        <f t="shared" si="7"/>
        <v>-626796.30797762424</v>
      </c>
      <c r="I25" s="209">
        <f t="shared" si="7"/>
        <v>-736619.02281162306</v>
      </c>
      <c r="J25" s="209">
        <f t="shared" si="7"/>
        <v>-847265.40800687694</v>
      </c>
      <c r="K25" s="209">
        <f t="shared" si="7"/>
        <v>-958741.64109109517</v>
      </c>
      <c r="L25" s="209">
        <f t="shared" si="7"/>
        <v>-1071053.945923445</v>
      </c>
      <c r="M25" s="209">
        <f t="shared" si="7"/>
        <v>-1184208.5930420374</v>
      </c>
      <c r="N25" s="209">
        <f t="shared" si="7"/>
        <v>-1298211.9000140193</v>
      </c>
      <c r="O25" s="209">
        <f t="shared" si="7"/>
        <v>-1413070.2317882911</v>
      </c>
      <c r="P25" s="209">
        <f t="shared" si="7"/>
        <v>-1528790.0010508699</v>
      </c>
      <c r="Q25" s="209">
        <f t="shared" si="7"/>
        <v>-1645377.6685829181</v>
      </c>
      <c r="R25" s="209">
        <f t="shared" si="7"/>
        <v>-1762839.7436214567</v>
      </c>
      <c r="S25" s="209">
        <f t="shared" si="7"/>
        <v>-1881182.7842227842</v>
      </c>
      <c r="T25" s="209">
        <f t="shared" si="7"/>
        <v>-2000413.3976286217</v>
      </c>
      <c r="U25" s="209">
        <f t="shared" si="7"/>
        <v>-2120538.240635003</v>
      </c>
      <c r="V25" s="209">
        <f t="shared" si="7"/>
        <v>-2241564.0199639322</v>
      </c>
      <c r="W25" s="209">
        <f t="shared" si="7"/>
        <v>-2363497.4926378285</v>
      </c>
      <c r="X25" s="209">
        <f t="shared" si="7"/>
        <v>-2485773.6688044951</v>
      </c>
      <c r="Y25" s="209">
        <f t="shared" si="7"/>
        <v>-2608147.5070424117</v>
      </c>
      <c r="Z25" s="209">
        <f t="shared" si="7"/>
        <v>-2730619.7398171127</v>
      </c>
      <c r="AA25" s="209">
        <f t="shared" si="7"/>
        <v>-2853191.1050876239</v>
      </c>
      <c r="AB25" s="209">
        <f t="shared" si="7"/>
        <v>-2975862.346347664</v>
      </c>
      <c r="AC25" s="209">
        <f t="shared" si="7"/>
        <v>-3098634.2126671546</v>
      </c>
      <c r="AD25" s="209">
        <f t="shared" si="7"/>
        <v>-3112252.8920673747</v>
      </c>
      <c r="AE25" s="209">
        <f t="shared" si="7"/>
        <v>-3125973.7115630964</v>
      </c>
      <c r="AF25" s="209">
        <f t="shared" si="7"/>
        <v>614632.69134929217</v>
      </c>
      <c r="AG25" s="209" cm="1">
        <f t="array" ref="AG25">SUMPRODUCT((YEAR($C$4:$AF$4)&lt;=AG$4)*$C$24:$AF$24)</f>
        <v>-626796.30797762424</v>
      </c>
      <c r="AH25" s="209"/>
      <c r="AI25" s="209"/>
      <c r="AJ25" s="209"/>
      <c r="AK25" s="209">
        <f>AF25</f>
        <v>614632.69134929217</v>
      </c>
    </row>
    <row r="26" spans="1:37" x14ac:dyDescent="0.25">
      <c r="A26" s="200"/>
      <c r="B26" s="200"/>
      <c r="C26" s="200"/>
      <c r="D26" s="200"/>
      <c r="E26" s="200"/>
      <c r="F26" s="200"/>
      <c r="G26" s="200"/>
      <c r="H26" s="200"/>
      <c r="I26" s="200"/>
      <c r="J26" s="200"/>
      <c r="K26" s="200"/>
      <c r="L26" s="200"/>
      <c r="M26" s="200"/>
      <c r="N26" s="200"/>
      <c r="O26" s="200"/>
      <c r="P26" s="200"/>
      <c r="Q26" s="200"/>
      <c r="R26" s="200"/>
      <c r="S26" s="200"/>
      <c r="T26" s="200"/>
      <c r="U26" s="200"/>
      <c r="V26" s="200"/>
      <c r="W26" s="200"/>
      <c r="X26" s="200"/>
      <c r="Y26" s="200"/>
      <c r="Z26" s="200"/>
      <c r="AA26" s="200"/>
      <c r="AB26" s="200"/>
      <c r="AC26" s="200"/>
      <c r="AD26" s="200"/>
      <c r="AE26" s="200"/>
      <c r="AF26" s="200"/>
      <c r="AG26" s="200"/>
      <c r="AH26" s="200"/>
      <c r="AI26" s="200"/>
      <c r="AJ26" s="200"/>
      <c r="AK26" s="200"/>
    </row>
    <row r="27" spans="1:37" x14ac:dyDescent="0.25">
      <c r="A27" s="199"/>
      <c r="B27" s="199" t="s">
        <v>261</v>
      </c>
      <c r="C27" s="201">
        <f>MIN(C25:AF25)</f>
        <v>-3125973.7115630964</v>
      </c>
      <c r="D27" s="200"/>
      <c r="E27" s="200"/>
      <c r="F27" s="200"/>
      <c r="G27" s="200"/>
      <c r="H27" s="200"/>
      <c r="I27" s="200"/>
      <c r="J27" s="200"/>
      <c r="K27" s="200"/>
      <c r="L27" s="200"/>
      <c r="M27" s="200"/>
      <c r="N27" s="200"/>
      <c r="O27" s="200"/>
      <c r="P27" s="200"/>
      <c r="Q27" s="200"/>
      <c r="R27" s="200"/>
      <c r="S27" s="200"/>
      <c r="T27" s="200"/>
      <c r="U27" s="200"/>
      <c r="V27" s="200"/>
      <c r="W27" s="200"/>
      <c r="X27" s="200"/>
      <c r="Y27" s="200"/>
      <c r="Z27" s="200"/>
      <c r="AA27" s="200"/>
      <c r="AB27" s="200"/>
      <c r="AC27" s="200"/>
      <c r="AD27" s="200"/>
      <c r="AE27" s="200"/>
      <c r="AF27" s="200"/>
      <c r="AG27" s="200"/>
      <c r="AH27" s="200"/>
      <c r="AI27" s="200"/>
      <c r="AJ27" s="200"/>
      <c r="AK27" s="200"/>
    </row>
  </sheetData>
  <sheetProtection algorithmName="SHA-512" hashValue="SSR2pNSOguEuUg9SzZLVwp7ULg+rqwP8eY/FB9jtAgbCHW9uyIYF9KsE6Y3dcn/MiebbbKsoAYsX8ACz8Hh9FQ==" saltValue="pzf6Z8d+1FVKKe0BMc3V0g==" spinCount="100000" sheet="1" objects="1" scenarios="1"/>
  <mergeCells count="3">
    <mergeCell ref="A3:B3"/>
    <mergeCell ref="C3:AF3"/>
    <mergeCell ref="AG3:AJ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23B3B"/>
  </sheetPr>
  <dimension ref="A1:F40"/>
  <sheetViews>
    <sheetView showGridLines="0" topLeftCell="A7" zoomScaleNormal="100" workbookViewId="0">
      <selection activeCell="C6" sqref="C6"/>
    </sheetView>
  </sheetViews>
  <sheetFormatPr defaultColWidth="8.7109375" defaultRowHeight="15" x14ac:dyDescent="0.25"/>
  <cols>
    <col min="1" max="1" width="46" customWidth="1"/>
    <col min="2" max="2" width="4" customWidth="1"/>
    <col min="3" max="6" width="16" customWidth="1"/>
  </cols>
  <sheetData>
    <row r="1" spans="1:6" ht="25.5" customHeight="1" x14ac:dyDescent="0.25">
      <c r="A1" s="169" t="s">
        <v>204</v>
      </c>
      <c r="B1" s="169"/>
      <c r="C1" s="169"/>
      <c r="D1" s="169"/>
      <c r="E1" s="169"/>
      <c r="F1" s="169"/>
    </row>
    <row r="2" spans="1:6" ht="30" customHeight="1" x14ac:dyDescent="0.25">
      <c r="A2" s="170" t="str">
        <f>"Net proceeds repay senior debt, then return capital, then pay the preferred return, then split residual with the sponsor promote. The pref accrues on contributed capital, so the whole waterfall is deterministic.  All amounts in "&amp;Inputs!$C$80&amp;" ("&amp;Inputs!$C$79&amp;")."</f>
        <v>Net proceeds repay senior debt, then return capital, then pay the preferred return, then split residual with the sponsor promote. The pref accrues on contributed capital, so the whole waterfall is deterministic.  All amounts in NGN (₦).</v>
      </c>
      <c r="B2" s="170"/>
      <c r="C2" s="170"/>
      <c r="D2" s="170"/>
      <c r="E2" s="170"/>
      <c r="F2" s="170"/>
    </row>
    <row r="3" spans="1:6" x14ac:dyDescent="0.25">
      <c r="A3" s="92"/>
      <c r="B3" s="92"/>
      <c r="C3" s="92"/>
      <c r="D3" s="92"/>
      <c r="E3" s="92"/>
      <c r="F3" s="92"/>
    </row>
    <row r="4" spans="1:6" ht="19.5" customHeight="1" x14ac:dyDescent="0.25">
      <c r="A4" s="178" t="s">
        <v>127</v>
      </c>
      <c r="B4" s="178"/>
      <c r="C4" s="178"/>
      <c r="D4" s="178"/>
      <c r="E4" s="178"/>
      <c r="F4" s="178"/>
    </row>
    <row r="5" spans="1:6" x14ac:dyDescent="0.25">
      <c r="A5" s="171" t="s">
        <v>46</v>
      </c>
      <c r="B5" s="92"/>
      <c r="C5" s="172" t="s">
        <v>128</v>
      </c>
      <c r="D5" s="172" t="s">
        <v>47</v>
      </c>
      <c r="E5" s="172" t="s">
        <v>129</v>
      </c>
      <c r="F5" s="172" t="s">
        <v>108</v>
      </c>
    </row>
    <row r="6" spans="1:6" x14ac:dyDescent="0.25">
      <c r="A6" s="173" t="s">
        <v>127</v>
      </c>
      <c r="B6" s="92"/>
      <c r="C6" s="180">
        <f>Engine!$B$24+Inputs!$C$30*IF(Inputs!$C$9="Yes",1,0)</f>
        <v>219530.12209134857</v>
      </c>
      <c r="D6" s="180">
        <f>Engine!$B$25</f>
        <v>512236.95154647989</v>
      </c>
      <c r="E6" s="180">
        <f>Inputs!$C$30*Inputs!$C$16*IF(Inputs!$C$9="Yes",0,1)</f>
        <v>525000</v>
      </c>
      <c r="F6" s="174">
        <f>SUM(C6:E6)</f>
        <v>1256767.0736378285</v>
      </c>
    </row>
    <row r="7" spans="1:6" x14ac:dyDescent="0.25">
      <c r="A7" s="210" t="s">
        <v>130</v>
      </c>
      <c r="B7" s="92"/>
      <c r="C7" s="211" t="s">
        <v>131</v>
      </c>
      <c r="D7" s="211" t="s">
        <v>131</v>
      </c>
      <c r="E7" s="211" t="s">
        <v>132</v>
      </c>
      <c r="F7" s="92"/>
    </row>
    <row r="8" spans="1:6" x14ac:dyDescent="0.25">
      <c r="A8" s="92"/>
      <c r="B8" s="92"/>
      <c r="C8" s="92"/>
      <c r="D8" s="92"/>
      <c r="E8" s="92"/>
      <c r="F8" s="92"/>
    </row>
    <row r="9" spans="1:6" ht="19.5" customHeight="1" x14ac:dyDescent="0.25">
      <c r="A9" s="178" t="s">
        <v>133</v>
      </c>
      <c r="B9" s="178"/>
      <c r="C9" s="178"/>
      <c r="D9" s="178"/>
      <c r="E9" s="178"/>
      <c r="F9" s="178"/>
    </row>
    <row r="10" spans="1:6" x14ac:dyDescent="0.25">
      <c r="A10" s="181" t="s">
        <v>57</v>
      </c>
      <c r="B10" s="92"/>
      <c r="C10" s="92"/>
      <c r="D10" s="92"/>
      <c r="E10" s="92"/>
      <c r="F10" s="180">
        <f>Inputs!$C$25</f>
        <v>3773000</v>
      </c>
    </row>
    <row r="11" spans="1:6" x14ac:dyDescent="0.25">
      <c r="A11" s="181" t="s">
        <v>382</v>
      </c>
      <c r="B11" s="92"/>
      <c r="C11" s="92"/>
      <c r="D11" s="92"/>
      <c r="E11" s="92"/>
      <c r="F11" s="180">
        <f>-(Engine!$B$20+Engine!$B$29+Engine!$B$30+Engine!$B$31)</f>
        <v>-1901600.2350128791</v>
      </c>
    </row>
    <row r="12" spans="1:6" x14ac:dyDescent="0.25">
      <c r="A12" s="173" t="s">
        <v>134</v>
      </c>
      <c r="B12" s="92"/>
      <c r="C12" s="92"/>
      <c r="D12" s="92"/>
      <c r="E12" s="92"/>
      <c r="F12" s="174">
        <f>F10+F11</f>
        <v>1871399.7649871209</v>
      </c>
    </row>
    <row r="13" spans="1:6" x14ac:dyDescent="0.25">
      <c r="A13" s="92"/>
      <c r="B13" s="92"/>
      <c r="C13" s="92"/>
      <c r="D13" s="92"/>
      <c r="E13" s="92"/>
      <c r="F13" s="92"/>
    </row>
    <row r="14" spans="1:6" ht="19.5" customHeight="1" x14ac:dyDescent="0.25">
      <c r="A14" s="178" t="s">
        <v>135</v>
      </c>
      <c r="B14" s="178"/>
      <c r="C14" s="178"/>
      <c r="D14" s="178"/>
      <c r="E14" s="178"/>
      <c r="F14" s="178"/>
    </row>
    <row r="15" spans="1:6" x14ac:dyDescent="0.25">
      <c r="A15" s="179" t="s">
        <v>136</v>
      </c>
      <c r="B15" s="92"/>
      <c r="C15" s="92"/>
      <c r="D15" s="92"/>
      <c r="E15" s="92"/>
      <c r="F15" s="212">
        <f>MIN(Waterfall!$F$12,Waterfall!$F$6)</f>
        <v>1256767.0736378285</v>
      </c>
    </row>
    <row r="16" spans="1:6" x14ac:dyDescent="0.25">
      <c r="A16" s="173" t="s">
        <v>137</v>
      </c>
      <c r="B16" s="92"/>
      <c r="C16" s="180">
        <f>IF($F$6=0,0,$F$15*C6/$F$6)</f>
        <v>219530.1220913486</v>
      </c>
      <c r="D16" s="180">
        <f>IF($F$6=0,0,$F$15*D6/$F$6)</f>
        <v>512236.95154647989</v>
      </c>
      <c r="E16" s="180">
        <f>IF($F$6=0,0,$F$15*E6/$F$6)</f>
        <v>525000</v>
      </c>
      <c r="F16" s="174">
        <f>SUM(C16:E16)</f>
        <v>1256767.0736378285</v>
      </c>
    </row>
    <row r="17" spans="1:6" x14ac:dyDescent="0.25">
      <c r="A17" s="179" t="s">
        <v>138</v>
      </c>
      <c r="B17" s="92"/>
      <c r="C17" s="92"/>
      <c r="D17" s="92"/>
      <c r="E17" s="92"/>
      <c r="F17" s="212">
        <f>Waterfall!$F$12-Waterfall!$F$15</f>
        <v>614632.69134929241</v>
      </c>
    </row>
    <row r="18" spans="1:6" x14ac:dyDescent="0.25">
      <c r="A18" s="92"/>
      <c r="B18" s="92"/>
      <c r="C18" s="92"/>
      <c r="D18" s="92"/>
      <c r="E18" s="92"/>
      <c r="F18" s="92"/>
    </row>
    <row r="19" spans="1:6" ht="19.5" customHeight="1" x14ac:dyDescent="0.25">
      <c r="A19" s="178" t="str">
        <f>"Tier 2, return hurdle ("&amp;Inputs!$C$59&amp;")"</f>
        <v>Tier 2, return hurdle (Preferred return)</v>
      </c>
      <c r="B19" s="178"/>
      <c r="C19" s="178"/>
      <c r="D19" s="178"/>
      <c r="E19" s="178"/>
      <c r="F19" s="178"/>
    </row>
    <row r="20" spans="1:6" x14ac:dyDescent="0.25">
      <c r="A20" s="179" t="s">
        <v>139</v>
      </c>
      <c r="B20" s="92"/>
      <c r="C20" s="7">
        <f>(Inputs!$C$35-(Inputs!$C$33+Inputs!$C$34)/2)/12</f>
        <v>1.0833333333333333</v>
      </c>
      <c r="D20" s="7">
        <f>(Inputs!$C$35-(Inputs!$C$33+Inputs!$C$34)/2)/12</f>
        <v>1.0833333333333333</v>
      </c>
      <c r="E20" s="7">
        <f>Inputs!$C$35/12</f>
        <v>2.5</v>
      </c>
      <c r="F20" s="213" t="s">
        <v>140</v>
      </c>
    </row>
    <row r="21" spans="1:6" x14ac:dyDescent="0.25">
      <c r="A21" s="181" t="s">
        <v>141</v>
      </c>
      <c r="B21" s="92"/>
      <c r="C21" s="180">
        <f>Inputs!$C$20*C6*IF(Inputs!$C$59="Equity multiple",(Inputs!$C$60-1),((1+Inputs!$C$44)^C20-1))</f>
        <v>23878.632633258756</v>
      </c>
      <c r="D21" s="180">
        <f>Inputs!$C$20*D6*IF(Inputs!$C$59="Equity multiple",(Inputs!$C$60-1),((1+Inputs!$C$44)^D20-1))</f>
        <v>55716.809477603747</v>
      </c>
      <c r="E21" s="180">
        <f>Inputs!$C$20*E6*IF(Inputs!$C$59="Equity multiple",(Inputs!$C$60-1),((1+Inputs!$C$44)^E20-1))</f>
        <v>141255.82080008887</v>
      </c>
      <c r="F21" s="174">
        <f>SUM(C21:E21)</f>
        <v>220851.26291095137</v>
      </c>
    </row>
    <row r="22" spans="1:6" x14ac:dyDescent="0.25">
      <c r="A22" s="173" t="s">
        <v>142</v>
      </c>
      <c r="B22" s="92"/>
      <c r="C22" s="180">
        <f>IF($F$21=0,0,MIN($F$17,$F$21)*C21/$F$21)</f>
        <v>23878.632633258756</v>
      </c>
      <c r="D22" s="180">
        <f>IF($F$21=0,0,MIN($F$17,$F$21)*D21/$F$21)</f>
        <v>55716.809477603747</v>
      </c>
      <c r="E22" s="180">
        <f>IF($F$21=0,0,MIN($F$17,$F$21)*E21/$F$21)</f>
        <v>141255.82080008887</v>
      </c>
      <c r="F22" s="174">
        <f>SUM(C22:E22)</f>
        <v>220851.26291095137</v>
      </c>
    </row>
    <row r="23" spans="1:6" x14ac:dyDescent="0.25">
      <c r="A23" s="179" t="s">
        <v>143</v>
      </c>
      <c r="B23" s="92"/>
      <c r="C23" s="92"/>
      <c r="D23" s="92"/>
      <c r="E23" s="92"/>
      <c r="F23" s="212">
        <f>Waterfall!$F$17-MIN(Waterfall!$F$17,Waterfall!$F$21)</f>
        <v>393781.42843834101</v>
      </c>
    </row>
    <row r="24" spans="1:6" x14ac:dyDescent="0.25">
      <c r="A24" s="92"/>
      <c r="B24" s="92"/>
      <c r="C24" s="92"/>
      <c r="D24" s="92"/>
      <c r="E24" s="92"/>
      <c r="F24" s="92"/>
    </row>
    <row r="25" spans="1:6" ht="19.5" customHeight="1" x14ac:dyDescent="0.25">
      <c r="A25" s="178" t="str">
        <f>"Tier 3, "&amp;IF(Inputs!$C$70="Yes","GP catch-up and carry","residual profit and sponsor promote")</f>
        <v>Tier 3, residual profit and sponsor promote</v>
      </c>
      <c r="B25" s="178"/>
      <c r="C25" s="178"/>
      <c r="D25" s="178"/>
      <c r="E25" s="178"/>
      <c r="F25" s="178"/>
    </row>
    <row r="26" spans="1:6" x14ac:dyDescent="0.25">
      <c r="A26" s="179" t="s">
        <v>144</v>
      </c>
      <c r="B26" s="92"/>
      <c r="C26" s="92"/>
      <c r="D26" s="92"/>
      <c r="E26" s="92"/>
      <c r="F26" s="212">
        <f>MAX(0,Waterfall!$F$23)</f>
        <v>393781.42843834101</v>
      </c>
    </row>
    <row r="27" spans="1:6" x14ac:dyDescent="0.25">
      <c r="A27" s="173" t="s">
        <v>145</v>
      </c>
      <c r="B27" s="92"/>
      <c r="C27" s="180">
        <f>IF(Inputs!$C$70="Yes",IF($F$6=0,0,($F$26-$C$29)*(1-Inputs!$C$71)*C6/$F$6),IF($F$6=0,0,$F$26*Inputs!$C$46*C6/$F$6))</f>
        <v>34392.564412173109</v>
      </c>
      <c r="D27" s="180">
        <f>IF(Inputs!$C$70="Yes",IF($F$6=0,0,($F$26-$C$29)*(1-Inputs!$C$71)*D6/$F$6),IF($F$6=0,0,$F$26*Inputs!$C$46*D6/$F$6))</f>
        <v>80249.316961737233</v>
      </c>
      <c r="E27" s="180">
        <f>IF(Inputs!$C$70="Yes",IF($F$6=0,0,($F$26-$C$29)*(1-Inputs!$C$71)*E6/$F$6),IF($F$6=0,0,$F$26*Inputs!$C$46*E6/$F$6))</f>
        <v>82248.832845260156</v>
      </c>
      <c r="F27" s="174">
        <f>SUM(C27:E27)</f>
        <v>196890.71421917051</v>
      </c>
    </row>
    <row r="28" spans="1:6" x14ac:dyDescent="0.25">
      <c r="A28" s="173" t="s">
        <v>146</v>
      </c>
      <c r="B28" s="92"/>
      <c r="C28" s="180">
        <f>$F$26-(C27+D27+E27)</f>
        <v>196890.71421917051</v>
      </c>
      <c r="D28" s="92"/>
      <c r="E28" s="92"/>
      <c r="F28" s="174">
        <f>C28</f>
        <v>196890.71421917051</v>
      </c>
    </row>
    <row r="29" spans="1:6" x14ac:dyDescent="0.25">
      <c r="A29" s="214" t="s">
        <v>422</v>
      </c>
      <c r="B29" s="111"/>
      <c r="C29" s="215">
        <f>IF(Inputs!$C$70="Yes",MIN($F$26,(Inputs!$C$71/(1-Inputs!$C$71))*($D$22+$E$22)),0)</f>
        <v>0</v>
      </c>
      <c r="D29" s="92"/>
      <c r="E29" s="92"/>
      <c r="F29" s="92"/>
    </row>
    <row r="30" spans="1:6" ht="19.5" customHeight="1" x14ac:dyDescent="0.25">
      <c r="A30" s="178" t="s">
        <v>147</v>
      </c>
      <c r="B30" s="178"/>
      <c r="C30" s="178"/>
      <c r="D30" s="178"/>
      <c r="E30" s="178"/>
      <c r="F30" s="178"/>
    </row>
    <row r="31" spans="1:6" x14ac:dyDescent="0.25">
      <c r="A31" s="179" t="s">
        <v>148</v>
      </c>
      <c r="B31" s="92"/>
      <c r="C31" s="180">
        <f>Inputs!$C$50</f>
        <v>77000</v>
      </c>
      <c r="D31" s="92"/>
      <c r="E31" s="92"/>
      <c r="F31" s="92"/>
    </row>
    <row r="32" spans="1:6" x14ac:dyDescent="0.25">
      <c r="A32" s="173" t="s">
        <v>149</v>
      </c>
      <c r="B32" s="92"/>
      <c r="C32" s="180">
        <f>C16+C22+C27+C28</f>
        <v>474692.03335595096</v>
      </c>
      <c r="D32" s="180">
        <f>D16+D22+D27</f>
        <v>648203.07798582083</v>
      </c>
      <c r="E32" s="180">
        <f>E16+E22+E27</f>
        <v>748504.65364534897</v>
      </c>
      <c r="F32" s="174">
        <f>SUM(C32:E32)</f>
        <v>1871399.7649871206</v>
      </c>
    </row>
    <row r="33" spans="1:6" x14ac:dyDescent="0.25">
      <c r="A33" s="216" t="s">
        <v>150</v>
      </c>
      <c r="B33" s="92"/>
      <c r="C33" s="174">
        <f>C32+C31</f>
        <v>551692.03335595096</v>
      </c>
      <c r="D33" s="174">
        <f>D32</f>
        <v>648203.07798582083</v>
      </c>
      <c r="E33" s="174">
        <f>E32</f>
        <v>748504.65364534897</v>
      </c>
      <c r="F33" s="217"/>
    </row>
    <row r="34" spans="1:6" x14ac:dyDescent="0.25">
      <c r="A34" s="179" t="s">
        <v>151</v>
      </c>
      <c r="B34" s="92"/>
      <c r="C34" s="180">
        <f>-Waterfall!$C$6</f>
        <v>-219530.12209134857</v>
      </c>
      <c r="D34" s="180">
        <f>-Waterfall!$D$6</f>
        <v>-512236.95154647989</v>
      </c>
      <c r="E34" s="180">
        <f>-Waterfall!$E$6</f>
        <v>-525000</v>
      </c>
      <c r="F34" s="92"/>
    </row>
    <row r="35" spans="1:6" x14ac:dyDescent="0.25">
      <c r="A35" s="218" t="s">
        <v>152</v>
      </c>
      <c r="B35" s="92"/>
      <c r="C35" s="174">
        <f>C33-Waterfall!$C$6</f>
        <v>332161.91126460239</v>
      </c>
      <c r="D35" s="174">
        <f>D33-Waterfall!$D$6</f>
        <v>135966.12643934094</v>
      </c>
      <c r="E35" s="174">
        <f>E33-Waterfall!$E$6</f>
        <v>223504.65364534897</v>
      </c>
      <c r="F35" s="219"/>
    </row>
    <row r="36" spans="1:6" x14ac:dyDescent="0.25">
      <c r="A36" s="181" t="s">
        <v>153</v>
      </c>
      <c r="B36" s="92"/>
      <c r="C36" s="8">
        <f>IF($C$6=0,0,C33/$C$6)</f>
        <v>2.5130584727975811</v>
      </c>
      <c r="D36" s="8">
        <f>IF($D$6=0,0,D33/$D$6)</f>
        <v>1.2654359979865755</v>
      </c>
      <c r="E36" s="8">
        <f>IF($E$6=0,0,E33/$E$6)</f>
        <v>1.4257231498006646</v>
      </c>
      <c r="F36" s="92"/>
    </row>
    <row r="37" spans="1:6" x14ac:dyDescent="0.25">
      <c r="A37" s="92"/>
      <c r="B37" s="92"/>
      <c r="C37" s="92"/>
      <c r="D37" s="92"/>
      <c r="E37" s="92"/>
      <c r="F37" s="92"/>
    </row>
    <row r="38" spans="1:6" ht="19.5" customHeight="1" x14ac:dyDescent="0.25">
      <c r="A38" s="178" t="s">
        <v>154</v>
      </c>
      <c r="B38" s="178"/>
      <c r="C38" s="178"/>
      <c r="D38" s="178"/>
      <c r="E38" s="178"/>
      <c r="F38" s="178"/>
    </row>
    <row r="39" spans="1:6" x14ac:dyDescent="0.25">
      <c r="A39" s="179" t="s">
        <v>155</v>
      </c>
      <c r="B39" s="92"/>
      <c r="C39" s="92"/>
      <c r="D39" s="92"/>
      <c r="E39" s="92"/>
      <c r="F39" s="212">
        <f>Inputs!$C$25-(Engine!$B$20+Engine!$B$29+Engine!$B$30+Engine!$B$31+C32+D32+E32)</f>
        <v>0</v>
      </c>
    </row>
    <row r="40" spans="1:6" x14ac:dyDescent="0.25">
      <c r="A40" s="220" t="s">
        <v>156</v>
      </c>
      <c r="B40" s="220"/>
      <c r="C40" s="220"/>
      <c r="D40" s="220"/>
      <c r="E40" s="220"/>
      <c r="F40" s="220"/>
    </row>
  </sheetData>
  <sheetProtection algorithmName="SHA-512" hashValue="iMP1viBws0n4nP3zbY37tOvfRZx52bJHm9O1gV5JfXAmG5MsNlkrfHoXRhAgYUvKTSvanSllu5zoOjjkWFqPBg==" saltValue="X0y6OGOfcz8vxQWeJ6Z1Uw==" spinCount="100000" sheet="1" objects="1" scenarios="1"/>
  <mergeCells count="10">
    <mergeCell ref="A19:F19"/>
    <mergeCell ref="A25:F25"/>
    <mergeCell ref="A30:F30"/>
    <mergeCell ref="A38:F38"/>
    <mergeCell ref="A40:F40"/>
    <mergeCell ref="A1:F1"/>
    <mergeCell ref="A2:F2"/>
    <mergeCell ref="A4:F4"/>
    <mergeCell ref="A9:F9"/>
    <mergeCell ref="A14:F14"/>
  </mergeCells>
  <pageMargins left="0.75" right="0.75" top="1" bottom="1" header="0.511811023622047" footer="0.511811023622047"/>
  <pageSetup paperSize="9" orientation="portrait" horizontalDpi="300" verticalDpi="300"/>
  <headerFooter>
    <oddHeader>&amp;C&amp;"Aptos"&amp;10&amp;K008000 This Email / Document has been classified as Public by Olu Oke&amp;1#_x000D_</oddHeader>
    <oddFooter>&amp;C_x000D_&amp;1#&amp;"Aptos"&amp;10&amp;K000000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23B3B"/>
  </sheetPr>
  <dimension ref="A1:G36"/>
  <sheetViews>
    <sheetView showGridLines="0" zoomScaleNormal="100" workbookViewId="0">
      <selection sqref="A1:G1"/>
    </sheetView>
  </sheetViews>
  <sheetFormatPr defaultColWidth="8.7109375" defaultRowHeight="15" x14ac:dyDescent="0.25"/>
  <cols>
    <col min="1" max="1" width="30" customWidth="1"/>
    <col min="2" max="7" width="13" customWidth="1"/>
  </cols>
  <sheetData>
    <row r="1" spans="1:7" ht="25.5" customHeight="1" x14ac:dyDescent="0.25">
      <c r="A1" s="169" t="s">
        <v>205</v>
      </c>
      <c r="B1" s="169"/>
      <c r="C1" s="169"/>
      <c r="D1" s="169"/>
      <c r="E1" s="169"/>
      <c r="F1" s="169"/>
      <c r="G1" s="169"/>
    </row>
    <row r="2" spans="1:7" ht="30" customHeight="1" x14ac:dyDescent="0.25">
      <c r="A2" s="170" t="str">
        <f>"Two questions, two grids. Both re-derive the output as a live formula, not a native data table, so they recalculate cleanly. What is held is stated on each grid.  All amounts in "&amp;Inputs!$C$80&amp;" ("&amp;Inputs!$C$79&amp;")."</f>
        <v>Two questions, two grids. Both re-derive the output as a live formula, not a native data table, so they recalculate cleanly. What is held is stated on each grid.  All amounts in NGN (₦).</v>
      </c>
      <c r="B2" s="170"/>
      <c r="C2" s="170"/>
      <c r="D2" s="170"/>
      <c r="E2" s="170"/>
      <c r="F2" s="170"/>
      <c r="G2" s="170"/>
    </row>
    <row r="3" spans="1:7" x14ac:dyDescent="0.25">
      <c r="A3" s="92"/>
      <c r="B3" s="92"/>
      <c r="C3" s="92"/>
      <c r="D3" s="92"/>
      <c r="E3" s="92"/>
      <c r="F3" s="92"/>
      <c r="G3" s="92"/>
    </row>
    <row r="4" spans="1:7" x14ac:dyDescent="0.25">
      <c r="A4" s="229" t="s">
        <v>157</v>
      </c>
      <c r="B4" s="92"/>
      <c r="C4" s="92"/>
      <c r="D4" s="92"/>
      <c r="E4" s="92"/>
      <c r="F4" s="92"/>
      <c r="G4" s="92"/>
    </row>
    <row r="5" spans="1:7" x14ac:dyDescent="0.25">
      <c r="A5" s="220" t="s">
        <v>158</v>
      </c>
      <c r="B5" s="220"/>
      <c r="C5" s="220"/>
      <c r="D5" s="220"/>
      <c r="E5" s="220"/>
      <c r="F5" s="220"/>
      <c r="G5" s="220"/>
    </row>
    <row r="6" spans="1:7" x14ac:dyDescent="0.25">
      <c r="A6" s="181" t="s">
        <v>159</v>
      </c>
      <c r="B6" s="180">
        <f>Inputs!$C$23</f>
        <v>3850000</v>
      </c>
      <c r="C6" s="92"/>
      <c r="D6" s="92"/>
      <c r="E6" s="92"/>
      <c r="F6" s="92"/>
      <c r="G6" s="92"/>
    </row>
    <row r="7" spans="1:7" x14ac:dyDescent="0.25">
      <c r="A7" s="181" t="s">
        <v>160</v>
      </c>
      <c r="B7" s="180">
        <f>Inputs!$C$26</f>
        <v>2014249</v>
      </c>
      <c r="C7" s="92"/>
      <c r="D7" s="92"/>
      <c r="E7" s="92"/>
      <c r="F7" s="92"/>
      <c r="G7" s="92"/>
    </row>
    <row r="8" spans="1:7" x14ac:dyDescent="0.25">
      <c r="A8" s="92"/>
      <c r="B8" s="92"/>
      <c r="C8" s="92"/>
      <c r="D8" s="92"/>
      <c r="E8" s="92"/>
      <c r="F8" s="92"/>
      <c r="G8" s="92"/>
    </row>
    <row r="9" spans="1:7" x14ac:dyDescent="0.25">
      <c r="A9" s="230" t="s">
        <v>161</v>
      </c>
      <c r="B9" s="9">
        <v>-0.1</v>
      </c>
      <c r="C9" s="9">
        <v>-0.05</v>
      </c>
      <c r="D9" s="9">
        <v>0</v>
      </c>
      <c r="E9" s="9">
        <v>0.05</v>
      </c>
      <c r="F9" s="9">
        <v>0.1</v>
      </c>
      <c r="G9" s="92"/>
    </row>
    <row r="10" spans="1:7" x14ac:dyDescent="0.25">
      <c r="A10" s="9">
        <v>-0.1</v>
      </c>
      <c r="B10" s="10">
        <f>(($B$6*(1+B$9)*(1-Inputs!$C$24))-(($B$7*(1+$A10))+(Inputs!$C$27+Inputs!$C$28+Inputs!$C$29+Inputs!$C$50+Inputs!$C$30+Engine!$B$21)))/(($B$7*(1+$A10))+(Inputs!$C$27+Inputs!$C$28+Inputs!$C$29+Inputs!$C$50+Inputs!$C$30+Engine!$B$21))</f>
        <v>0.14838219035503719</v>
      </c>
      <c r="C10" s="10">
        <f>(($B$6*(1+C$9)*(1-Inputs!$C$24))-(($B$7*(1+$A10))+(Inputs!$C$27+Inputs!$C$28+Inputs!$C$29+Inputs!$C$50+Inputs!$C$30+Engine!$B$21)))/(($B$7*(1+$A10))+(Inputs!$C$27+Inputs!$C$28+Inputs!$C$29+Inputs!$C$50+Inputs!$C$30+Engine!$B$21))</f>
        <v>0.21218120093031706</v>
      </c>
      <c r="D10" s="10">
        <f>(($B$6*(1+D$9)*(1-Inputs!$C$24))-(($B$7*(1+$A10))+(Inputs!$C$27+Inputs!$C$28+Inputs!$C$29+Inputs!$C$50+Inputs!$C$30+Engine!$B$21)))/(($B$7*(1+$A10))+(Inputs!$C$27+Inputs!$C$28+Inputs!$C$29+Inputs!$C$50+Inputs!$C$30+Engine!$B$21))</f>
        <v>0.27598021150559687</v>
      </c>
      <c r="E10" s="10">
        <f>(($B$6*(1+E$9)*(1-Inputs!$C$24))-(($B$7*(1+$A10))+(Inputs!$C$27+Inputs!$C$28+Inputs!$C$29+Inputs!$C$50+Inputs!$C$30+Engine!$B$21)))/(($B$7*(1+$A10))+(Inputs!$C$27+Inputs!$C$28+Inputs!$C$29+Inputs!$C$50+Inputs!$C$30+Engine!$B$21))</f>
        <v>0.33977922208087674</v>
      </c>
      <c r="F10" s="10">
        <f>(($B$6*(1+F$9)*(1-Inputs!$C$24))-(($B$7*(1+$A10))+(Inputs!$C$27+Inputs!$C$28+Inputs!$C$29+Inputs!$C$50+Inputs!$C$30+Engine!$B$21)))/(($B$7*(1+$A10))+(Inputs!$C$27+Inputs!$C$28+Inputs!$C$29+Inputs!$C$50+Inputs!$C$30+Engine!$B$21))</f>
        <v>0.40357823265615655</v>
      </c>
      <c r="G10" s="92"/>
    </row>
    <row r="11" spans="1:7" x14ac:dyDescent="0.25">
      <c r="A11" s="9">
        <v>-0.05</v>
      </c>
      <c r="B11" s="10">
        <f>(($B$6*(1+B$9)*(1-Inputs!$C$24))-(($B$7*(1+$A11))+(Inputs!$C$27+Inputs!$C$28+Inputs!$C$29+Inputs!$C$50+Inputs!$C$30+Engine!$B$21)))/(($B$7*(1+$A11))+(Inputs!$C$27+Inputs!$C$28+Inputs!$C$29+Inputs!$C$50+Inputs!$C$30+Engine!$B$21))</f>
        <v>0.11055699775692344</v>
      </c>
      <c r="C11" s="10">
        <f>(($B$6*(1+C$9)*(1-Inputs!$C$24))-(($B$7*(1+$A11))+(Inputs!$C$27+Inputs!$C$28+Inputs!$C$29+Inputs!$C$50+Inputs!$C$30+Engine!$B$21)))/(($B$7*(1+$A11))+(Inputs!$C$27+Inputs!$C$28+Inputs!$C$29+Inputs!$C$50+Inputs!$C$30+Engine!$B$21))</f>
        <v>0.17225460874341919</v>
      </c>
      <c r="D11" s="10">
        <f>(($B$6*(1+D$9)*(1-Inputs!$C$24))-(($B$7*(1+$A11))+(Inputs!$C$27+Inputs!$C$28+Inputs!$C$29+Inputs!$C$50+Inputs!$C$30+Engine!$B$21)))/(($B$7*(1+$A11))+(Inputs!$C$27+Inputs!$C$28+Inputs!$C$29+Inputs!$C$50+Inputs!$C$30+Engine!$B$21))</f>
        <v>0.23395221972991495</v>
      </c>
      <c r="E11" s="10">
        <f>(($B$6*(1+E$9)*(1-Inputs!$C$24))-(($B$7*(1+$A11))+(Inputs!$C$27+Inputs!$C$28+Inputs!$C$29+Inputs!$C$50+Inputs!$C$30+Engine!$B$21)))/(($B$7*(1+$A11))+(Inputs!$C$27+Inputs!$C$28+Inputs!$C$29+Inputs!$C$50+Inputs!$C$30+Engine!$B$21))</f>
        <v>0.29564983071641071</v>
      </c>
      <c r="F11" s="10">
        <f>(($B$6*(1+F$9)*(1-Inputs!$C$24))-(($B$7*(1+$A11))+(Inputs!$C$27+Inputs!$C$28+Inputs!$C$29+Inputs!$C$50+Inputs!$C$30+Engine!$B$21)))/(($B$7*(1+$A11))+(Inputs!$C$27+Inputs!$C$28+Inputs!$C$29+Inputs!$C$50+Inputs!$C$30+Engine!$B$21))</f>
        <v>0.35734744170290644</v>
      </c>
      <c r="G11" s="92"/>
    </row>
    <row r="12" spans="1:7" x14ac:dyDescent="0.25">
      <c r="A12" s="9">
        <v>0</v>
      </c>
      <c r="B12" s="10">
        <f>(($B$6*(1+B$9)*(1-Inputs!$C$24))-(($B$7*(1+$A12))+(Inputs!$C$27+Inputs!$C$28+Inputs!$C$29+Inputs!$C$50+Inputs!$C$30+Engine!$B$21)))/(($B$7*(1+$A12))+(Inputs!$C$27+Inputs!$C$28+Inputs!$C$29+Inputs!$C$50+Inputs!$C$30+Engine!$B$21))</f>
        <v>7.5144107114850908E-2</v>
      </c>
      <c r="C12" s="10">
        <f>(($B$6*(1+C$9)*(1-Inputs!$C$24))-(($B$7*(1+$A12))+(Inputs!$C$27+Inputs!$C$28+Inputs!$C$29+Inputs!$C$50+Inputs!$C$30+Engine!$B$21)))/(($B$7*(1+$A12))+(Inputs!$C$27+Inputs!$C$28+Inputs!$C$29+Inputs!$C$50+Inputs!$C$30+Engine!$B$21))</f>
        <v>0.13487433528789819</v>
      </c>
      <c r="D12" s="10">
        <f>(($B$6*(1+D$9)*(1-Inputs!$C$24))-(($B$7*(1+$A12))+(Inputs!$C$27+Inputs!$C$28+Inputs!$C$29+Inputs!$C$50+Inputs!$C$30+Engine!$B$21)))/(($B$7*(1+$A12))+(Inputs!$C$27+Inputs!$C$28+Inputs!$C$29+Inputs!$C$50+Inputs!$C$30+Engine!$B$21))</f>
        <v>0.19460456346094546</v>
      </c>
      <c r="E12" s="10">
        <f>(($B$6*(1+E$9)*(1-Inputs!$C$24))-(($B$7*(1+$A12))+(Inputs!$C$27+Inputs!$C$28+Inputs!$C$29+Inputs!$C$50+Inputs!$C$30+Engine!$B$21)))/(($B$7*(1+$A12))+(Inputs!$C$27+Inputs!$C$28+Inputs!$C$29+Inputs!$C$50+Inputs!$C$30+Engine!$B$21))</f>
        <v>0.25433479163399275</v>
      </c>
      <c r="F12" s="10">
        <f>(($B$6*(1+F$9)*(1-Inputs!$C$24))-(($B$7*(1+$A12))+(Inputs!$C$27+Inputs!$C$28+Inputs!$C$29+Inputs!$C$50+Inputs!$C$30+Engine!$B$21)))/(($B$7*(1+$A12))+(Inputs!$C$27+Inputs!$C$28+Inputs!$C$29+Inputs!$C$50+Inputs!$C$30+Engine!$B$21))</f>
        <v>0.31406501980703999</v>
      </c>
      <c r="G12" s="92"/>
    </row>
    <row r="13" spans="1:7" x14ac:dyDescent="0.25">
      <c r="A13" s="9">
        <v>0.05</v>
      </c>
      <c r="B13" s="10">
        <f>(($B$6*(1+B$9)*(1-Inputs!$C$24))-(($B$7*(1+$A13))+(Inputs!$C$27+Inputs!$C$28+Inputs!$C$29+Inputs!$C$50+Inputs!$C$30+Engine!$B$21)))/(($B$7*(1+$A13))+(Inputs!$C$27+Inputs!$C$28+Inputs!$C$29+Inputs!$C$50+Inputs!$C$30+Engine!$B$21))</f>
        <v>4.1919882748084128E-2</v>
      </c>
      <c r="C13" s="10">
        <f>(($B$6*(1+C$9)*(1-Inputs!$C$24))-(($B$7*(1+$A13))+(Inputs!$C$27+Inputs!$C$28+Inputs!$C$29+Inputs!$C$50+Inputs!$C$30+Engine!$B$21)))/(($B$7*(1+$A13))+(Inputs!$C$27+Inputs!$C$28+Inputs!$C$29+Inputs!$C$50+Inputs!$C$30+Engine!$B$21))</f>
        <v>9.9804320678533245E-2</v>
      </c>
      <c r="D13" s="10">
        <f>(($B$6*(1+D$9)*(1-Inputs!$C$24))-(($B$7*(1+$A13))+(Inputs!$C$27+Inputs!$C$28+Inputs!$C$29+Inputs!$C$50+Inputs!$C$30+Engine!$B$21)))/(($B$7*(1+$A13))+(Inputs!$C$27+Inputs!$C$28+Inputs!$C$29+Inputs!$C$50+Inputs!$C$30+Engine!$B$21))</f>
        <v>0.15768875860898235</v>
      </c>
      <c r="E13" s="10">
        <f>(($B$6*(1+E$9)*(1-Inputs!$C$24))-(($B$7*(1+$A13))+(Inputs!$C$27+Inputs!$C$28+Inputs!$C$29+Inputs!$C$50+Inputs!$C$30+Engine!$B$21)))/(($B$7*(1+$A13))+(Inputs!$C$27+Inputs!$C$28+Inputs!$C$29+Inputs!$C$50+Inputs!$C$30+Engine!$B$21))</f>
        <v>0.21557319653943147</v>
      </c>
      <c r="F13" s="10">
        <f>(($B$6*(1+F$9)*(1-Inputs!$C$24))-(($B$7*(1+$A13))+(Inputs!$C$27+Inputs!$C$28+Inputs!$C$29+Inputs!$C$50+Inputs!$C$30+Engine!$B$21)))/(($B$7*(1+$A13))+(Inputs!$C$27+Inputs!$C$28+Inputs!$C$29+Inputs!$C$50+Inputs!$C$30+Engine!$B$21))</f>
        <v>0.27345763446988058</v>
      </c>
      <c r="G13" s="92"/>
    </row>
    <row r="14" spans="1:7" x14ac:dyDescent="0.25">
      <c r="A14" s="9">
        <v>0.1</v>
      </c>
      <c r="B14" s="10">
        <f>(($B$6*(1+B$9)*(1-Inputs!$C$24))-(($B$7*(1+$A14))+(Inputs!$C$27+Inputs!$C$28+Inputs!$C$29+Inputs!$C$50+Inputs!$C$30+Engine!$B$21)))/(($B$7*(1+$A14))+(Inputs!$C$27+Inputs!$C$28+Inputs!$C$29+Inputs!$C$50+Inputs!$C$30+Engine!$B$21))</f>
        <v>1.0687503607168719E-2</v>
      </c>
      <c r="C14" s="10">
        <f>(($B$6*(1+C$9)*(1-Inputs!$C$24))-(($B$7*(1+$A14))+(Inputs!$C$27+Inputs!$C$28+Inputs!$C$29+Inputs!$C$50+Inputs!$C$30+Engine!$B$21)))/(($B$7*(1+$A14))+(Inputs!$C$27+Inputs!$C$28+Inputs!$C$29+Inputs!$C$50+Inputs!$C$30+Engine!$B$21))</f>
        <v>6.6836809363122543E-2</v>
      </c>
      <c r="D14" s="10">
        <f>(($B$6*(1+D$9)*(1-Inputs!$C$24))-(($B$7*(1+$A14))+(Inputs!$C$27+Inputs!$C$28+Inputs!$C$29+Inputs!$C$50+Inputs!$C$30+Engine!$B$21)))/(($B$7*(1+$A14))+(Inputs!$C$27+Inputs!$C$28+Inputs!$C$29+Inputs!$C$50+Inputs!$C$30+Engine!$B$21))</f>
        <v>0.12298611511907635</v>
      </c>
      <c r="E14" s="10">
        <f>(($B$6*(1+E$9)*(1-Inputs!$C$24))-(($B$7*(1+$A14))+(Inputs!$C$27+Inputs!$C$28+Inputs!$C$29+Inputs!$C$50+Inputs!$C$30+Engine!$B$21)))/(($B$7*(1+$A14))+(Inputs!$C$27+Inputs!$C$28+Inputs!$C$29+Inputs!$C$50+Inputs!$C$30+Engine!$B$21))</f>
        <v>0.17913542087503018</v>
      </c>
      <c r="F14" s="10">
        <f>(($B$6*(1+F$9)*(1-Inputs!$C$24))-(($B$7*(1+$A14))+(Inputs!$C$27+Inputs!$C$28+Inputs!$C$29+Inputs!$C$50+Inputs!$C$30+Engine!$B$21)))/(($B$7*(1+$A14))+(Inputs!$C$27+Inputs!$C$28+Inputs!$C$29+Inputs!$C$50+Inputs!$C$30+Engine!$B$21))</f>
        <v>0.23528472663098399</v>
      </c>
      <c r="G14" s="92"/>
    </row>
    <row r="15" spans="1:7" x14ac:dyDescent="0.25">
      <c r="A15" s="9">
        <v>0.15</v>
      </c>
      <c r="B15" s="10">
        <f>(($B$6*(1+B$9)*(1-Inputs!$C$24))-(($B$7*(1+$A15))+(Inputs!$C$27+Inputs!$C$28+Inputs!$C$29+Inputs!$C$50+Inputs!$C$30+Engine!$B$21)))/(($B$7*(1+$A15))+(Inputs!$C$27+Inputs!$C$28+Inputs!$C$29+Inputs!$C$50+Inputs!$C$30+Engine!$B$21))</f>
        <v>-1.8726938710718444E-2</v>
      </c>
      <c r="C15" s="10">
        <f>(($B$6*(1+C$9)*(1-Inputs!$C$24))-(($B$7*(1+$A15))+(Inputs!$C$27+Inputs!$C$28+Inputs!$C$29+Inputs!$C$50+Inputs!$C$30+Engine!$B$21)))/(($B$7*(1+$A15))+(Inputs!$C$27+Inputs!$C$28+Inputs!$C$29+Inputs!$C$50+Inputs!$C$30+Engine!$B$21))</f>
        <v>3.5788231360908307E-2</v>
      </c>
      <c r="D15" s="10">
        <f>(($B$6*(1+D$9)*(1-Inputs!$C$24))-(($B$7*(1+$A15))+(Inputs!$C$27+Inputs!$C$28+Inputs!$C$29+Inputs!$C$50+Inputs!$C$30+Engine!$B$21)))/(($B$7*(1+$A15))+(Inputs!$C$27+Inputs!$C$28+Inputs!$C$29+Inputs!$C$50+Inputs!$C$30+Engine!$B$21))</f>
        <v>9.0303401432535055E-2</v>
      </c>
      <c r="E15" s="10">
        <f>(($B$6*(1+E$9)*(1-Inputs!$C$24))-(($B$7*(1+$A15))+(Inputs!$C$27+Inputs!$C$28+Inputs!$C$29+Inputs!$C$50+Inputs!$C$30+Engine!$B$21)))/(($B$7*(1+$A15))+(Inputs!$C$27+Inputs!$C$28+Inputs!$C$29+Inputs!$C$50+Inputs!$C$30+Engine!$B$21))</f>
        <v>0.1448185715041618</v>
      </c>
      <c r="F15" s="10">
        <f>(($B$6*(1+F$9)*(1-Inputs!$C$24))-(($B$7*(1+$A15))+(Inputs!$C$27+Inputs!$C$28+Inputs!$C$29+Inputs!$C$50+Inputs!$C$30+Engine!$B$21)))/(($B$7*(1+$A15))+(Inputs!$C$27+Inputs!$C$28+Inputs!$C$29+Inputs!$C$50+Inputs!$C$30+Engine!$B$21))</f>
        <v>0.19933374157578856</v>
      </c>
      <c r="G15" s="92"/>
    </row>
    <row r="16" spans="1:7" x14ac:dyDescent="0.25">
      <c r="A16" s="92"/>
      <c r="B16" s="92"/>
      <c r="C16" s="92"/>
      <c r="D16" s="92"/>
      <c r="E16" s="92"/>
      <c r="F16" s="92"/>
      <c r="G16" s="92"/>
    </row>
    <row r="17" spans="1:7" x14ac:dyDescent="0.25">
      <c r="A17" s="92"/>
      <c r="B17" s="92"/>
      <c r="C17" s="92"/>
      <c r="D17" s="92"/>
      <c r="E17" s="92"/>
      <c r="F17" s="92"/>
      <c r="G17" s="92"/>
    </row>
    <row r="18" spans="1:7" x14ac:dyDescent="0.25">
      <c r="A18" s="229" t="s">
        <v>162</v>
      </c>
      <c r="B18" s="92"/>
      <c r="C18" s="92"/>
      <c r="D18" s="92"/>
      <c r="E18" s="92"/>
      <c r="F18" s="92"/>
      <c r="G18" s="92"/>
    </row>
    <row r="19" spans="1:7" x14ac:dyDescent="0.25">
      <c r="A19" s="220" t="s">
        <v>163</v>
      </c>
      <c r="B19" s="220"/>
      <c r="C19" s="220"/>
      <c r="D19" s="220"/>
      <c r="E19" s="220"/>
      <c r="F19" s="220"/>
      <c r="G19" s="220"/>
    </row>
    <row r="20" spans="1:7" x14ac:dyDescent="0.25">
      <c r="A20" s="181" t="s">
        <v>164</v>
      </c>
      <c r="B20" s="11">
        <f>Waterfall!$C$36</f>
        <v>2.5130584727975811</v>
      </c>
      <c r="C20" s="92"/>
      <c r="D20" s="92"/>
      <c r="E20" s="92"/>
      <c r="F20" s="92"/>
      <c r="G20" s="92"/>
    </row>
    <row r="21" spans="1:7" x14ac:dyDescent="0.25">
      <c r="A21" s="92"/>
      <c r="B21" s="92"/>
      <c r="C21" s="92"/>
      <c r="D21" s="92"/>
      <c r="E21" s="92"/>
      <c r="F21" s="92"/>
      <c r="G21" s="92"/>
    </row>
    <row r="22" spans="1:7" x14ac:dyDescent="0.25">
      <c r="A22" s="230" t="s">
        <v>165</v>
      </c>
      <c r="B22" s="9">
        <v>0.3</v>
      </c>
      <c r="C22" s="9">
        <v>0.4</v>
      </c>
      <c r="D22" s="9">
        <v>0.5</v>
      </c>
      <c r="E22" s="9">
        <v>0.6</v>
      </c>
      <c r="F22" s="9">
        <v>0.7</v>
      </c>
      <c r="G22" s="92"/>
    </row>
    <row r="23" spans="1:7" x14ac:dyDescent="0.25">
      <c r="A23" s="9">
        <v>0.06</v>
      </c>
      <c r="B23" s="12">
        <f>(Waterfall!$C$6+IF(((Waterfall!$C$6*((1+$A23)^Waterfall!$C$20-1))+(Waterfall!$D$6*((1+$A23)^Waterfall!$C$20-1))+(Waterfall!$E$6*((1+$A23)^Waterfall!$E$20-1)))&gt;0,MIN((Waterfall!$F$12-Waterfall!$F$6),((Waterfall!$C$6*((1+$A23)^Waterfall!$C$20-1))+(Waterfall!$D$6*((1+$A23)^Waterfall!$C$20-1))+(Waterfall!$E$6*((1+$A23)^Waterfall!$E$20-1))))*(Waterfall!$C$6*((1+$A23)^Waterfall!$C$20-1))/((Waterfall!$C$6*((1+$A23)^Waterfall!$C$20-1))+(Waterfall!$D$6*((1+$A23)^Waterfall!$C$20-1))+(Waterfall!$E$6*((1+$A23)^Waterfall!$E$20-1))),0)+(MAX(0,(Waterfall!$F$12-Waterfall!$F$6)-MIN((Waterfall!$F$12-Waterfall!$F$6),((Waterfall!$C$6*((1+$A23)^Waterfall!$C$20-1))+(Waterfall!$D$6*((1+$A23)^Waterfall!$C$20-1))+(Waterfall!$E$6*((1+$A23)^Waterfall!$E$20-1)))))*(1-B$22)*Waterfall!$C$6/Waterfall!$F$6)+(MAX(0,(Waterfall!$F$12-Waterfall!$F$6)-MIN((Waterfall!$F$12-Waterfall!$F$6),((Waterfall!$C$6*((1+$A23)^Waterfall!$C$20-1))+(Waterfall!$D$6*((1+$A23)^Waterfall!$C$20-1))+(Waterfall!$E$6*((1+$A23)^Waterfall!$E$20-1)))))*B$22)+Inputs!$C$50)/Waterfall!$C$6</f>
        <v>2.348098628344264</v>
      </c>
      <c r="C23" s="12">
        <f>(Waterfall!$C$6+IF(((Waterfall!$C$6*((1+$A23)^Waterfall!$C$20-1))+(Waterfall!$D$6*((1+$A23)^Waterfall!$C$20-1))+(Waterfall!$E$6*((1+$A23)^Waterfall!$E$20-1)))&gt;0,MIN((Waterfall!$F$12-Waterfall!$F$6),((Waterfall!$C$6*((1+$A23)^Waterfall!$C$20-1))+(Waterfall!$D$6*((1+$A23)^Waterfall!$C$20-1))+(Waterfall!$E$6*((1+$A23)^Waterfall!$E$20-1))))*(Waterfall!$C$6*((1+$A23)^Waterfall!$C$20-1))/((Waterfall!$C$6*((1+$A23)^Waterfall!$C$20-1))+(Waterfall!$D$6*((1+$A23)^Waterfall!$C$20-1))+(Waterfall!$E$6*((1+$A23)^Waterfall!$E$20-1))),0)+(MAX(0,(Waterfall!$F$12-Waterfall!$F$6)-MIN((Waterfall!$F$12-Waterfall!$F$6),((Waterfall!$C$6*((1+$A23)^Waterfall!$C$20-1))+(Waterfall!$D$6*((1+$A23)^Waterfall!$C$20-1))+(Waterfall!$E$6*((1+$A23)^Waterfall!$E$20-1)))))*(1-C$22)*Waterfall!$C$6/Waterfall!$F$6)+(MAX(0,(Waterfall!$F$12-Waterfall!$F$6)-MIN((Waterfall!$F$12-Waterfall!$F$6),((Waterfall!$C$6*((1+$A23)^Waterfall!$C$20-1))+(Waterfall!$D$6*((1+$A23)^Waterfall!$C$20-1))+(Waterfall!$E$6*((1+$A23)^Waterfall!$E$20-1)))))*C$22)+Inputs!$C$50)/Waterfall!$C$6</f>
        <v>2.5302918828098488</v>
      </c>
      <c r="D23" s="12">
        <f>(Waterfall!$C$6+IF(((Waterfall!$C$6*((1+$A23)^Waterfall!$C$20-1))+(Waterfall!$D$6*((1+$A23)^Waterfall!$C$20-1))+(Waterfall!$E$6*((1+$A23)^Waterfall!$E$20-1)))&gt;0,MIN((Waterfall!$F$12-Waterfall!$F$6),((Waterfall!$C$6*((1+$A23)^Waterfall!$C$20-1))+(Waterfall!$D$6*((1+$A23)^Waterfall!$C$20-1))+(Waterfall!$E$6*((1+$A23)^Waterfall!$E$20-1))))*(Waterfall!$C$6*((1+$A23)^Waterfall!$C$20-1))/((Waterfall!$C$6*((1+$A23)^Waterfall!$C$20-1))+(Waterfall!$D$6*((1+$A23)^Waterfall!$C$20-1))+(Waterfall!$E$6*((1+$A23)^Waterfall!$E$20-1))),0)+(MAX(0,(Waterfall!$F$12-Waterfall!$F$6)-MIN((Waterfall!$F$12-Waterfall!$F$6),((Waterfall!$C$6*((1+$A23)^Waterfall!$C$20-1))+(Waterfall!$D$6*((1+$A23)^Waterfall!$C$20-1))+(Waterfall!$E$6*((1+$A23)^Waterfall!$E$20-1)))))*(1-D$22)*Waterfall!$C$6/Waterfall!$F$6)+(MAX(0,(Waterfall!$F$12-Waterfall!$F$6)-MIN((Waterfall!$F$12-Waterfall!$F$6),((Waterfall!$C$6*((1+$A23)^Waterfall!$C$20-1))+(Waterfall!$D$6*((1+$A23)^Waterfall!$C$20-1))+(Waterfall!$E$6*((1+$A23)^Waterfall!$E$20-1)))))*D$22)+Inputs!$C$50)/Waterfall!$C$6</f>
        <v>2.7124851372754346</v>
      </c>
      <c r="E23" s="12">
        <f>(Waterfall!$C$6+IF(((Waterfall!$C$6*((1+$A23)^Waterfall!$C$20-1))+(Waterfall!$D$6*((1+$A23)^Waterfall!$C$20-1))+(Waterfall!$E$6*((1+$A23)^Waterfall!$E$20-1)))&gt;0,MIN((Waterfall!$F$12-Waterfall!$F$6),((Waterfall!$C$6*((1+$A23)^Waterfall!$C$20-1))+(Waterfall!$D$6*((1+$A23)^Waterfall!$C$20-1))+(Waterfall!$E$6*((1+$A23)^Waterfall!$E$20-1))))*(Waterfall!$C$6*((1+$A23)^Waterfall!$C$20-1))/((Waterfall!$C$6*((1+$A23)^Waterfall!$C$20-1))+(Waterfall!$D$6*((1+$A23)^Waterfall!$C$20-1))+(Waterfall!$E$6*((1+$A23)^Waterfall!$E$20-1))),0)+(MAX(0,(Waterfall!$F$12-Waterfall!$F$6)-MIN((Waterfall!$F$12-Waterfall!$F$6),((Waterfall!$C$6*((1+$A23)^Waterfall!$C$20-1))+(Waterfall!$D$6*((1+$A23)^Waterfall!$C$20-1))+(Waterfall!$E$6*((1+$A23)^Waterfall!$E$20-1)))))*(1-E$22)*Waterfall!$C$6/Waterfall!$F$6)+(MAX(0,(Waterfall!$F$12-Waterfall!$F$6)-MIN((Waterfall!$F$12-Waterfall!$F$6),((Waterfall!$C$6*((1+$A23)^Waterfall!$C$20-1))+(Waterfall!$D$6*((1+$A23)^Waterfall!$C$20-1))+(Waterfall!$E$6*((1+$A23)^Waterfall!$E$20-1)))))*E$22)+Inputs!$C$50)/Waterfall!$C$6</f>
        <v>2.8946783917410195</v>
      </c>
      <c r="F23" s="12">
        <f>(Waterfall!$C$6+IF(((Waterfall!$C$6*((1+$A23)^Waterfall!$C$20-1))+(Waterfall!$D$6*((1+$A23)^Waterfall!$C$20-1))+(Waterfall!$E$6*((1+$A23)^Waterfall!$E$20-1)))&gt;0,MIN((Waterfall!$F$12-Waterfall!$F$6),((Waterfall!$C$6*((1+$A23)^Waterfall!$C$20-1))+(Waterfall!$D$6*((1+$A23)^Waterfall!$C$20-1))+(Waterfall!$E$6*((1+$A23)^Waterfall!$E$20-1))))*(Waterfall!$C$6*((1+$A23)^Waterfall!$C$20-1))/((Waterfall!$C$6*((1+$A23)^Waterfall!$C$20-1))+(Waterfall!$D$6*((1+$A23)^Waterfall!$C$20-1))+(Waterfall!$E$6*((1+$A23)^Waterfall!$E$20-1))),0)+(MAX(0,(Waterfall!$F$12-Waterfall!$F$6)-MIN((Waterfall!$F$12-Waterfall!$F$6),((Waterfall!$C$6*((1+$A23)^Waterfall!$C$20-1))+(Waterfall!$D$6*((1+$A23)^Waterfall!$C$20-1))+(Waterfall!$E$6*((1+$A23)^Waterfall!$E$20-1)))))*(1-F$22)*Waterfall!$C$6/Waterfall!$F$6)+(MAX(0,(Waterfall!$F$12-Waterfall!$F$6)-MIN((Waterfall!$F$12-Waterfall!$F$6),((Waterfall!$C$6*((1+$A23)^Waterfall!$C$20-1))+(Waterfall!$D$6*((1+$A23)^Waterfall!$C$20-1))+(Waterfall!$E$6*((1+$A23)^Waterfall!$E$20-1)))))*F$22)+Inputs!$C$50)/Waterfall!$C$6</f>
        <v>3.0768716462066052</v>
      </c>
      <c r="G23" s="92"/>
    </row>
    <row r="24" spans="1:7" x14ac:dyDescent="0.25">
      <c r="A24" s="9">
        <v>0.08</v>
      </c>
      <c r="B24" s="12">
        <f>(Waterfall!$C$6+IF(((Waterfall!$C$6*((1+$A24)^Waterfall!$C$20-1))+(Waterfall!$D$6*((1+$A24)^Waterfall!$C$20-1))+(Waterfall!$E$6*((1+$A24)^Waterfall!$E$20-1)))&gt;0,MIN((Waterfall!$F$12-Waterfall!$F$6),((Waterfall!$C$6*((1+$A24)^Waterfall!$C$20-1))+(Waterfall!$D$6*((1+$A24)^Waterfall!$C$20-1))+(Waterfall!$E$6*((1+$A24)^Waterfall!$E$20-1))))*(Waterfall!$C$6*((1+$A24)^Waterfall!$C$20-1))/((Waterfall!$C$6*((1+$A24)^Waterfall!$C$20-1))+(Waterfall!$D$6*((1+$A24)^Waterfall!$C$20-1))+(Waterfall!$E$6*((1+$A24)^Waterfall!$E$20-1))),0)+(MAX(0,(Waterfall!$F$12-Waterfall!$F$6)-MIN((Waterfall!$F$12-Waterfall!$F$6),((Waterfall!$C$6*((1+$A24)^Waterfall!$C$20-1))+(Waterfall!$D$6*((1+$A24)^Waterfall!$C$20-1))+(Waterfall!$E$6*((1+$A24)^Waterfall!$E$20-1)))))*(1-B$22)*Waterfall!$C$6/Waterfall!$F$6)+(MAX(0,(Waterfall!$F$12-Waterfall!$F$6)-MIN((Waterfall!$F$12-Waterfall!$F$6),((Waterfall!$C$6*((1+$A24)^Waterfall!$C$20-1))+(Waterfall!$D$6*((1+$A24)^Waterfall!$C$20-1))+(Waterfall!$E$6*((1+$A24)^Waterfall!$E$20-1)))))*B$22)+Inputs!$C$50)/Waterfall!$C$6</f>
        <v>2.2833307301959644</v>
      </c>
      <c r="C24" s="12">
        <f>(Waterfall!$C$6+IF(((Waterfall!$C$6*((1+$A24)^Waterfall!$C$20-1))+(Waterfall!$D$6*((1+$A24)^Waterfall!$C$20-1))+(Waterfall!$E$6*((1+$A24)^Waterfall!$E$20-1)))&gt;0,MIN((Waterfall!$F$12-Waterfall!$F$6),((Waterfall!$C$6*((1+$A24)^Waterfall!$C$20-1))+(Waterfall!$D$6*((1+$A24)^Waterfall!$C$20-1))+(Waterfall!$E$6*((1+$A24)^Waterfall!$E$20-1))))*(Waterfall!$C$6*((1+$A24)^Waterfall!$C$20-1))/((Waterfall!$C$6*((1+$A24)^Waterfall!$C$20-1))+(Waterfall!$D$6*((1+$A24)^Waterfall!$C$20-1))+(Waterfall!$E$6*((1+$A24)^Waterfall!$E$20-1))),0)+(MAX(0,(Waterfall!$F$12-Waterfall!$F$6)-MIN((Waterfall!$F$12-Waterfall!$F$6),((Waterfall!$C$6*((1+$A24)^Waterfall!$C$20-1))+(Waterfall!$D$6*((1+$A24)^Waterfall!$C$20-1))+(Waterfall!$E$6*((1+$A24)^Waterfall!$E$20-1)))))*(1-C$22)*Waterfall!$C$6/Waterfall!$F$6)+(MAX(0,(Waterfall!$F$12-Waterfall!$F$6)-MIN((Waterfall!$F$12-Waterfall!$F$6),((Waterfall!$C$6*((1+$A24)^Waterfall!$C$20-1))+(Waterfall!$D$6*((1+$A24)^Waterfall!$C$20-1))+(Waterfall!$E$6*((1+$A24)^Waterfall!$E$20-1)))))*C$22)+Inputs!$C$50)/Waterfall!$C$6</f>
        <v>2.4486067125021203</v>
      </c>
      <c r="D24" s="12">
        <f>(Waterfall!$C$6+IF(((Waterfall!$C$6*((1+$A24)^Waterfall!$C$20-1))+(Waterfall!$D$6*((1+$A24)^Waterfall!$C$20-1))+(Waterfall!$E$6*((1+$A24)^Waterfall!$E$20-1)))&gt;0,MIN((Waterfall!$F$12-Waterfall!$F$6),((Waterfall!$C$6*((1+$A24)^Waterfall!$C$20-1))+(Waterfall!$D$6*((1+$A24)^Waterfall!$C$20-1))+(Waterfall!$E$6*((1+$A24)^Waterfall!$E$20-1))))*(Waterfall!$C$6*((1+$A24)^Waterfall!$C$20-1))/((Waterfall!$C$6*((1+$A24)^Waterfall!$C$20-1))+(Waterfall!$D$6*((1+$A24)^Waterfall!$C$20-1))+(Waterfall!$E$6*((1+$A24)^Waterfall!$E$20-1))),0)+(MAX(0,(Waterfall!$F$12-Waterfall!$F$6)-MIN((Waterfall!$F$12-Waterfall!$F$6),((Waterfall!$C$6*((1+$A24)^Waterfall!$C$20-1))+(Waterfall!$D$6*((1+$A24)^Waterfall!$C$20-1))+(Waterfall!$E$6*((1+$A24)^Waterfall!$E$20-1)))))*(1-D$22)*Waterfall!$C$6/Waterfall!$F$6)+(MAX(0,(Waterfall!$F$12-Waterfall!$F$6)-MIN((Waterfall!$F$12-Waterfall!$F$6),((Waterfall!$C$6*((1+$A24)^Waterfall!$C$20-1))+(Waterfall!$D$6*((1+$A24)^Waterfall!$C$20-1))+(Waterfall!$E$6*((1+$A24)^Waterfall!$E$20-1)))))*D$22)+Inputs!$C$50)/Waterfall!$C$6</f>
        <v>2.6138826948082752</v>
      </c>
      <c r="E24" s="12">
        <f>(Waterfall!$C$6+IF(((Waterfall!$C$6*((1+$A24)^Waterfall!$C$20-1))+(Waterfall!$D$6*((1+$A24)^Waterfall!$C$20-1))+(Waterfall!$E$6*((1+$A24)^Waterfall!$E$20-1)))&gt;0,MIN((Waterfall!$F$12-Waterfall!$F$6),((Waterfall!$C$6*((1+$A24)^Waterfall!$C$20-1))+(Waterfall!$D$6*((1+$A24)^Waterfall!$C$20-1))+(Waterfall!$E$6*((1+$A24)^Waterfall!$E$20-1))))*(Waterfall!$C$6*((1+$A24)^Waterfall!$C$20-1))/((Waterfall!$C$6*((1+$A24)^Waterfall!$C$20-1))+(Waterfall!$D$6*((1+$A24)^Waterfall!$C$20-1))+(Waterfall!$E$6*((1+$A24)^Waterfall!$E$20-1))),0)+(MAX(0,(Waterfall!$F$12-Waterfall!$F$6)-MIN((Waterfall!$F$12-Waterfall!$F$6),((Waterfall!$C$6*((1+$A24)^Waterfall!$C$20-1))+(Waterfall!$D$6*((1+$A24)^Waterfall!$C$20-1))+(Waterfall!$E$6*((1+$A24)^Waterfall!$E$20-1)))))*(1-E$22)*Waterfall!$C$6/Waterfall!$F$6)+(MAX(0,(Waterfall!$F$12-Waterfall!$F$6)-MIN((Waterfall!$F$12-Waterfall!$F$6),((Waterfall!$C$6*((1+$A24)^Waterfall!$C$20-1))+(Waterfall!$D$6*((1+$A24)^Waterfall!$C$20-1))+(Waterfall!$E$6*((1+$A24)^Waterfall!$E$20-1)))))*E$22)+Inputs!$C$50)/Waterfall!$C$6</f>
        <v>2.7791586771144301</v>
      </c>
      <c r="F24" s="12">
        <f>(Waterfall!$C$6+IF(((Waterfall!$C$6*((1+$A24)^Waterfall!$C$20-1))+(Waterfall!$D$6*((1+$A24)^Waterfall!$C$20-1))+(Waterfall!$E$6*((1+$A24)^Waterfall!$E$20-1)))&gt;0,MIN((Waterfall!$F$12-Waterfall!$F$6),((Waterfall!$C$6*((1+$A24)^Waterfall!$C$20-1))+(Waterfall!$D$6*((1+$A24)^Waterfall!$C$20-1))+(Waterfall!$E$6*((1+$A24)^Waterfall!$E$20-1))))*(Waterfall!$C$6*((1+$A24)^Waterfall!$C$20-1))/((Waterfall!$C$6*((1+$A24)^Waterfall!$C$20-1))+(Waterfall!$D$6*((1+$A24)^Waterfall!$C$20-1))+(Waterfall!$E$6*((1+$A24)^Waterfall!$E$20-1))),0)+(MAX(0,(Waterfall!$F$12-Waterfall!$F$6)-MIN((Waterfall!$F$12-Waterfall!$F$6),((Waterfall!$C$6*((1+$A24)^Waterfall!$C$20-1))+(Waterfall!$D$6*((1+$A24)^Waterfall!$C$20-1))+(Waterfall!$E$6*((1+$A24)^Waterfall!$E$20-1)))))*(1-F$22)*Waterfall!$C$6/Waterfall!$F$6)+(MAX(0,(Waterfall!$F$12-Waterfall!$F$6)-MIN((Waterfall!$F$12-Waterfall!$F$6),((Waterfall!$C$6*((1+$A24)^Waterfall!$C$20-1))+(Waterfall!$D$6*((1+$A24)^Waterfall!$C$20-1))+(Waterfall!$E$6*((1+$A24)^Waterfall!$E$20-1)))))*F$22)+Inputs!$C$50)/Waterfall!$C$6</f>
        <v>2.9444346594205855</v>
      </c>
      <c r="G24" s="92"/>
    </row>
    <row r="25" spans="1:7" x14ac:dyDescent="0.25">
      <c r="A25" s="9">
        <v>0.1</v>
      </c>
      <c r="B25" s="12">
        <f>(Waterfall!$C$6+IF(((Waterfall!$C$6*((1+$A25)^Waterfall!$C$20-1))+(Waterfall!$D$6*((1+$A25)^Waterfall!$C$20-1))+(Waterfall!$E$6*((1+$A25)^Waterfall!$E$20-1)))&gt;0,MIN((Waterfall!$F$12-Waterfall!$F$6),((Waterfall!$C$6*((1+$A25)^Waterfall!$C$20-1))+(Waterfall!$D$6*((1+$A25)^Waterfall!$C$20-1))+(Waterfall!$E$6*((1+$A25)^Waterfall!$E$20-1))))*(Waterfall!$C$6*((1+$A25)^Waterfall!$C$20-1))/((Waterfall!$C$6*((1+$A25)^Waterfall!$C$20-1))+(Waterfall!$D$6*((1+$A25)^Waterfall!$C$20-1))+(Waterfall!$E$6*((1+$A25)^Waterfall!$E$20-1))),0)+(MAX(0,(Waterfall!$F$12-Waterfall!$F$6)-MIN((Waterfall!$F$12-Waterfall!$F$6),((Waterfall!$C$6*((1+$A25)^Waterfall!$C$20-1))+(Waterfall!$D$6*((1+$A25)^Waterfall!$C$20-1))+(Waterfall!$E$6*((1+$A25)^Waterfall!$E$20-1)))))*(1-B$22)*Waterfall!$C$6/Waterfall!$F$6)+(MAX(0,(Waterfall!$F$12-Waterfall!$F$6)-MIN((Waterfall!$F$12-Waterfall!$F$6),((Waterfall!$C$6*((1+$A25)^Waterfall!$C$20-1))+(Waterfall!$D$6*((1+$A25)^Waterfall!$C$20-1))+(Waterfall!$E$6*((1+$A25)^Waterfall!$E$20-1)))))*B$22)+Inputs!$C$50)/Waterfall!$C$6</f>
        <v>2.2169749134956271</v>
      </c>
      <c r="C25" s="12">
        <f>(Waterfall!$C$6+IF(((Waterfall!$C$6*((1+$A25)^Waterfall!$C$20-1))+(Waterfall!$D$6*((1+$A25)^Waterfall!$C$20-1))+(Waterfall!$E$6*((1+$A25)^Waterfall!$E$20-1)))&gt;0,MIN((Waterfall!$F$12-Waterfall!$F$6),((Waterfall!$C$6*((1+$A25)^Waterfall!$C$20-1))+(Waterfall!$D$6*((1+$A25)^Waterfall!$C$20-1))+(Waterfall!$E$6*((1+$A25)^Waterfall!$E$20-1))))*(Waterfall!$C$6*((1+$A25)^Waterfall!$C$20-1))/((Waterfall!$C$6*((1+$A25)^Waterfall!$C$20-1))+(Waterfall!$D$6*((1+$A25)^Waterfall!$C$20-1))+(Waterfall!$E$6*((1+$A25)^Waterfall!$E$20-1))),0)+(MAX(0,(Waterfall!$F$12-Waterfall!$F$6)-MIN((Waterfall!$F$12-Waterfall!$F$6),((Waterfall!$C$6*((1+$A25)^Waterfall!$C$20-1))+(Waterfall!$D$6*((1+$A25)^Waterfall!$C$20-1))+(Waterfall!$E$6*((1+$A25)^Waterfall!$E$20-1)))))*(1-C$22)*Waterfall!$C$6/Waterfall!$F$6)+(MAX(0,(Waterfall!$F$12-Waterfall!$F$6)-MIN((Waterfall!$F$12-Waterfall!$F$6),((Waterfall!$C$6*((1+$A25)^Waterfall!$C$20-1))+(Waterfall!$D$6*((1+$A25)^Waterfall!$C$20-1))+(Waterfall!$E$6*((1+$A25)^Waterfall!$E$20-1)))))*C$22)+Inputs!$C$50)/Waterfall!$C$6</f>
        <v>2.3650166931466043</v>
      </c>
      <c r="D25" s="12">
        <f>(Waterfall!$C$6+IF(((Waterfall!$C$6*((1+$A25)^Waterfall!$C$20-1))+(Waterfall!$D$6*((1+$A25)^Waterfall!$C$20-1))+(Waterfall!$E$6*((1+$A25)^Waterfall!$E$20-1)))&gt;0,MIN((Waterfall!$F$12-Waterfall!$F$6),((Waterfall!$C$6*((1+$A25)^Waterfall!$C$20-1))+(Waterfall!$D$6*((1+$A25)^Waterfall!$C$20-1))+(Waterfall!$E$6*((1+$A25)^Waterfall!$E$20-1))))*(Waterfall!$C$6*((1+$A25)^Waterfall!$C$20-1))/((Waterfall!$C$6*((1+$A25)^Waterfall!$C$20-1))+(Waterfall!$D$6*((1+$A25)^Waterfall!$C$20-1))+(Waterfall!$E$6*((1+$A25)^Waterfall!$E$20-1))),0)+(MAX(0,(Waterfall!$F$12-Waterfall!$F$6)-MIN((Waterfall!$F$12-Waterfall!$F$6),((Waterfall!$C$6*((1+$A25)^Waterfall!$C$20-1))+(Waterfall!$D$6*((1+$A25)^Waterfall!$C$20-1))+(Waterfall!$E$6*((1+$A25)^Waterfall!$E$20-1)))))*(1-D$22)*Waterfall!$C$6/Waterfall!$F$6)+(MAX(0,(Waterfall!$F$12-Waterfall!$F$6)-MIN((Waterfall!$F$12-Waterfall!$F$6),((Waterfall!$C$6*((1+$A25)^Waterfall!$C$20-1))+(Waterfall!$D$6*((1+$A25)^Waterfall!$C$20-1))+(Waterfall!$E$6*((1+$A25)^Waterfall!$E$20-1)))))*D$22)+Inputs!$C$50)/Waterfall!$C$6</f>
        <v>2.5130584727975811</v>
      </c>
      <c r="E25" s="12">
        <f>(Waterfall!$C$6+IF(((Waterfall!$C$6*((1+$A25)^Waterfall!$C$20-1))+(Waterfall!$D$6*((1+$A25)^Waterfall!$C$20-1))+(Waterfall!$E$6*((1+$A25)^Waterfall!$E$20-1)))&gt;0,MIN((Waterfall!$F$12-Waterfall!$F$6),((Waterfall!$C$6*((1+$A25)^Waterfall!$C$20-1))+(Waterfall!$D$6*((1+$A25)^Waterfall!$C$20-1))+(Waterfall!$E$6*((1+$A25)^Waterfall!$E$20-1))))*(Waterfall!$C$6*((1+$A25)^Waterfall!$C$20-1))/((Waterfall!$C$6*((1+$A25)^Waterfall!$C$20-1))+(Waterfall!$D$6*((1+$A25)^Waterfall!$C$20-1))+(Waterfall!$E$6*((1+$A25)^Waterfall!$E$20-1))),0)+(MAX(0,(Waterfall!$F$12-Waterfall!$F$6)-MIN((Waterfall!$F$12-Waterfall!$F$6),((Waterfall!$C$6*((1+$A25)^Waterfall!$C$20-1))+(Waterfall!$D$6*((1+$A25)^Waterfall!$C$20-1))+(Waterfall!$E$6*((1+$A25)^Waterfall!$E$20-1)))))*(1-E$22)*Waterfall!$C$6/Waterfall!$F$6)+(MAX(0,(Waterfall!$F$12-Waterfall!$F$6)-MIN((Waterfall!$F$12-Waterfall!$F$6),((Waterfall!$C$6*((1+$A25)^Waterfall!$C$20-1))+(Waterfall!$D$6*((1+$A25)^Waterfall!$C$20-1))+(Waterfall!$E$6*((1+$A25)^Waterfall!$E$20-1)))))*E$22)+Inputs!$C$50)/Waterfall!$C$6</f>
        <v>2.6611002524485579</v>
      </c>
      <c r="F25" s="12">
        <f>(Waterfall!$C$6+IF(((Waterfall!$C$6*((1+$A25)^Waterfall!$C$20-1))+(Waterfall!$D$6*((1+$A25)^Waterfall!$C$20-1))+(Waterfall!$E$6*((1+$A25)^Waterfall!$E$20-1)))&gt;0,MIN((Waterfall!$F$12-Waterfall!$F$6),((Waterfall!$C$6*((1+$A25)^Waterfall!$C$20-1))+(Waterfall!$D$6*((1+$A25)^Waterfall!$C$20-1))+(Waterfall!$E$6*((1+$A25)^Waterfall!$E$20-1))))*(Waterfall!$C$6*((1+$A25)^Waterfall!$C$20-1))/((Waterfall!$C$6*((1+$A25)^Waterfall!$C$20-1))+(Waterfall!$D$6*((1+$A25)^Waterfall!$C$20-1))+(Waterfall!$E$6*((1+$A25)^Waterfall!$E$20-1))),0)+(MAX(0,(Waterfall!$F$12-Waterfall!$F$6)-MIN((Waterfall!$F$12-Waterfall!$F$6),((Waterfall!$C$6*((1+$A25)^Waterfall!$C$20-1))+(Waterfall!$D$6*((1+$A25)^Waterfall!$C$20-1))+(Waterfall!$E$6*((1+$A25)^Waterfall!$E$20-1)))))*(1-F$22)*Waterfall!$C$6/Waterfall!$F$6)+(MAX(0,(Waterfall!$F$12-Waterfall!$F$6)-MIN((Waterfall!$F$12-Waterfall!$F$6),((Waterfall!$C$6*((1+$A25)^Waterfall!$C$20-1))+(Waterfall!$D$6*((1+$A25)^Waterfall!$C$20-1))+(Waterfall!$E$6*((1+$A25)^Waterfall!$E$20-1)))))*F$22)+Inputs!$C$50)/Waterfall!$C$6</f>
        <v>2.8091420320995346</v>
      </c>
      <c r="G25" s="92"/>
    </row>
    <row r="26" spans="1:7" x14ac:dyDescent="0.25">
      <c r="A26" s="9">
        <v>0.12</v>
      </c>
      <c r="B26" s="12">
        <f>(Waterfall!$C$6+IF(((Waterfall!$C$6*((1+$A26)^Waterfall!$C$20-1))+(Waterfall!$D$6*((1+$A26)^Waterfall!$C$20-1))+(Waterfall!$E$6*((1+$A26)^Waterfall!$E$20-1)))&gt;0,MIN((Waterfall!$F$12-Waterfall!$F$6),((Waterfall!$C$6*((1+$A26)^Waterfall!$C$20-1))+(Waterfall!$D$6*((1+$A26)^Waterfall!$C$20-1))+(Waterfall!$E$6*((1+$A26)^Waterfall!$E$20-1))))*(Waterfall!$C$6*((1+$A26)^Waterfall!$C$20-1))/((Waterfall!$C$6*((1+$A26)^Waterfall!$C$20-1))+(Waterfall!$D$6*((1+$A26)^Waterfall!$C$20-1))+(Waterfall!$E$6*((1+$A26)^Waterfall!$E$20-1))),0)+(MAX(0,(Waterfall!$F$12-Waterfall!$F$6)-MIN((Waterfall!$F$12-Waterfall!$F$6),((Waterfall!$C$6*((1+$A26)^Waterfall!$C$20-1))+(Waterfall!$D$6*((1+$A26)^Waterfall!$C$20-1))+(Waterfall!$E$6*((1+$A26)^Waterfall!$E$20-1)))))*(1-B$22)*Waterfall!$C$6/Waterfall!$F$6)+(MAX(0,(Waterfall!$F$12-Waterfall!$F$6)-MIN((Waterfall!$F$12-Waterfall!$F$6),((Waterfall!$C$6*((1+$A26)^Waterfall!$C$20-1))+(Waterfall!$D$6*((1+$A26)^Waterfall!$C$20-1))+(Waterfall!$E$6*((1+$A26)^Waterfall!$E$20-1)))))*B$22)+Inputs!$C$50)/Waterfall!$C$6</f>
        <v>2.1490168975574719</v>
      </c>
      <c r="C26" s="12">
        <f>(Waterfall!$C$6+IF(((Waterfall!$C$6*((1+$A26)^Waterfall!$C$20-1))+(Waterfall!$D$6*((1+$A26)^Waterfall!$C$20-1))+(Waterfall!$E$6*((1+$A26)^Waterfall!$E$20-1)))&gt;0,MIN((Waterfall!$F$12-Waterfall!$F$6),((Waterfall!$C$6*((1+$A26)^Waterfall!$C$20-1))+(Waterfall!$D$6*((1+$A26)^Waterfall!$C$20-1))+(Waterfall!$E$6*((1+$A26)^Waterfall!$E$20-1))))*(Waterfall!$C$6*((1+$A26)^Waterfall!$C$20-1))/((Waterfall!$C$6*((1+$A26)^Waterfall!$C$20-1))+(Waterfall!$D$6*((1+$A26)^Waterfall!$C$20-1))+(Waterfall!$E$6*((1+$A26)^Waterfall!$E$20-1))),0)+(MAX(0,(Waterfall!$F$12-Waterfall!$F$6)-MIN((Waterfall!$F$12-Waterfall!$F$6),((Waterfall!$C$6*((1+$A26)^Waterfall!$C$20-1))+(Waterfall!$D$6*((1+$A26)^Waterfall!$C$20-1))+(Waterfall!$E$6*((1+$A26)^Waterfall!$E$20-1)))))*(1-C$22)*Waterfall!$C$6/Waterfall!$F$6)+(MAX(0,(Waterfall!$F$12-Waterfall!$F$6)-MIN((Waterfall!$F$12-Waterfall!$F$6),((Waterfall!$C$6*((1+$A26)^Waterfall!$C$20-1))+(Waterfall!$D$6*((1+$A26)^Waterfall!$C$20-1))+(Waterfall!$E$6*((1+$A26)^Waterfall!$E$20-1)))))*C$22)+Inputs!$C$50)/Waterfall!$C$6</f>
        <v>2.2795048626655232</v>
      </c>
      <c r="D26" s="12">
        <f>(Waterfall!$C$6+IF(((Waterfall!$C$6*((1+$A26)^Waterfall!$C$20-1))+(Waterfall!$D$6*((1+$A26)^Waterfall!$C$20-1))+(Waterfall!$E$6*((1+$A26)^Waterfall!$E$20-1)))&gt;0,MIN((Waterfall!$F$12-Waterfall!$F$6),((Waterfall!$C$6*((1+$A26)^Waterfall!$C$20-1))+(Waterfall!$D$6*((1+$A26)^Waterfall!$C$20-1))+(Waterfall!$E$6*((1+$A26)^Waterfall!$E$20-1))))*(Waterfall!$C$6*((1+$A26)^Waterfall!$C$20-1))/((Waterfall!$C$6*((1+$A26)^Waterfall!$C$20-1))+(Waterfall!$D$6*((1+$A26)^Waterfall!$C$20-1))+(Waterfall!$E$6*((1+$A26)^Waterfall!$E$20-1))),0)+(MAX(0,(Waterfall!$F$12-Waterfall!$F$6)-MIN((Waterfall!$F$12-Waterfall!$F$6),((Waterfall!$C$6*((1+$A26)^Waterfall!$C$20-1))+(Waterfall!$D$6*((1+$A26)^Waterfall!$C$20-1))+(Waterfall!$E$6*((1+$A26)^Waterfall!$E$20-1)))))*(1-D$22)*Waterfall!$C$6/Waterfall!$F$6)+(MAX(0,(Waterfall!$F$12-Waterfall!$F$6)-MIN((Waterfall!$F$12-Waterfall!$F$6),((Waterfall!$C$6*((1+$A26)^Waterfall!$C$20-1))+(Waterfall!$D$6*((1+$A26)^Waterfall!$C$20-1))+(Waterfall!$E$6*((1+$A26)^Waterfall!$E$20-1)))))*D$22)+Inputs!$C$50)/Waterfall!$C$6</f>
        <v>2.4099928277735745</v>
      </c>
      <c r="E26" s="12">
        <f>(Waterfall!$C$6+IF(((Waterfall!$C$6*((1+$A26)^Waterfall!$C$20-1))+(Waterfall!$D$6*((1+$A26)^Waterfall!$C$20-1))+(Waterfall!$E$6*((1+$A26)^Waterfall!$E$20-1)))&gt;0,MIN((Waterfall!$F$12-Waterfall!$F$6),((Waterfall!$C$6*((1+$A26)^Waterfall!$C$20-1))+(Waterfall!$D$6*((1+$A26)^Waterfall!$C$20-1))+(Waterfall!$E$6*((1+$A26)^Waterfall!$E$20-1))))*(Waterfall!$C$6*((1+$A26)^Waterfall!$C$20-1))/((Waterfall!$C$6*((1+$A26)^Waterfall!$C$20-1))+(Waterfall!$D$6*((1+$A26)^Waterfall!$C$20-1))+(Waterfall!$E$6*((1+$A26)^Waterfall!$E$20-1))),0)+(MAX(0,(Waterfall!$F$12-Waterfall!$F$6)-MIN((Waterfall!$F$12-Waterfall!$F$6),((Waterfall!$C$6*((1+$A26)^Waterfall!$C$20-1))+(Waterfall!$D$6*((1+$A26)^Waterfall!$C$20-1))+(Waterfall!$E$6*((1+$A26)^Waterfall!$E$20-1)))))*(1-E$22)*Waterfall!$C$6/Waterfall!$F$6)+(MAX(0,(Waterfall!$F$12-Waterfall!$F$6)-MIN((Waterfall!$F$12-Waterfall!$F$6),((Waterfall!$C$6*((1+$A26)^Waterfall!$C$20-1))+(Waterfall!$D$6*((1+$A26)^Waterfall!$C$20-1))+(Waterfall!$E$6*((1+$A26)^Waterfall!$E$20-1)))))*E$22)+Inputs!$C$50)/Waterfall!$C$6</f>
        <v>2.5404807928816258</v>
      </c>
      <c r="F26" s="12">
        <f>(Waterfall!$C$6+IF(((Waterfall!$C$6*((1+$A26)^Waterfall!$C$20-1))+(Waterfall!$D$6*((1+$A26)^Waterfall!$C$20-1))+(Waterfall!$E$6*((1+$A26)^Waterfall!$E$20-1)))&gt;0,MIN((Waterfall!$F$12-Waterfall!$F$6),((Waterfall!$C$6*((1+$A26)^Waterfall!$C$20-1))+(Waterfall!$D$6*((1+$A26)^Waterfall!$C$20-1))+(Waterfall!$E$6*((1+$A26)^Waterfall!$E$20-1))))*(Waterfall!$C$6*((1+$A26)^Waterfall!$C$20-1))/((Waterfall!$C$6*((1+$A26)^Waterfall!$C$20-1))+(Waterfall!$D$6*((1+$A26)^Waterfall!$C$20-1))+(Waterfall!$E$6*((1+$A26)^Waterfall!$E$20-1))),0)+(MAX(0,(Waterfall!$F$12-Waterfall!$F$6)-MIN((Waterfall!$F$12-Waterfall!$F$6),((Waterfall!$C$6*((1+$A26)^Waterfall!$C$20-1))+(Waterfall!$D$6*((1+$A26)^Waterfall!$C$20-1))+(Waterfall!$E$6*((1+$A26)^Waterfall!$E$20-1)))))*(1-F$22)*Waterfall!$C$6/Waterfall!$F$6)+(MAX(0,(Waterfall!$F$12-Waterfall!$F$6)-MIN((Waterfall!$F$12-Waterfall!$F$6),((Waterfall!$C$6*((1+$A26)^Waterfall!$C$20-1))+(Waterfall!$D$6*((1+$A26)^Waterfall!$C$20-1))+(Waterfall!$E$6*((1+$A26)^Waterfall!$E$20-1)))))*F$22)+Inputs!$C$50)/Waterfall!$C$6</f>
        <v>2.670968757989677</v>
      </c>
      <c r="G26" s="92"/>
    </row>
    <row r="27" spans="1:7" x14ac:dyDescent="0.25">
      <c r="A27" s="9">
        <v>0.15</v>
      </c>
      <c r="B27" s="12">
        <f>(Waterfall!$C$6+IF(((Waterfall!$C$6*((1+$A27)^Waterfall!$C$20-1))+(Waterfall!$D$6*((1+$A27)^Waterfall!$C$20-1))+(Waterfall!$E$6*((1+$A27)^Waterfall!$E$20-1)))&gt;0,MIN((Waterfall!$F$12-Waterfall!$F$6),((Waterfall!$C$6*((1+$A27)^Waterfall!$C$20-1))+(Waterfall!$D$6*((1+$A27)^Waterfall!$C$20-1))+(Waterfall!$E$6*((1+$A27)^Waterfall!$E$20-1))))*(Waterfall!$C$6*((1+$A27)^Waterfall!$C$20-1))/((Waterfall!$C$6*((1+$A27)^Waterfall!$C$20-1))+(Waterfall!$D$6*((1+$A27)^Waterfall!$C$20-1))+(Waterfall!$E$6*((1+$A27)^Waterfall!$E$20-1))),0)+(MAX(0,(Waterfall!$F$12-Waterfall!$F$6)-MIN((Waterfall!$F$12-Waterfall!$F$6),((Waterfall!$C$6*((1+$A27)^Waterfall!$C$20-1))+(Waterfall!$D$6*((1+$A27)^Waterfall!$C$20-1))+(Waterfall!$E$6*((1+$A27)^Waterfall!$E$20-1)))))*(1-B$22)*Waterfall!$C$6/Waterfall!$F$6)+(MAX(0,(Waterfall!$F$12-Waterfall!$F$6)-MIN((Waterfall!$F$12-Waterfall!$F$6),((Waterfall!$C$6*((1+$A27)^Waterfall!$C$20-1))+(Waterfall!$D$6*((1+$A27)^Waterfall!$C$20-1))+(Waterfall!$E$6*((1+$A27)^Waterfall!$E$20-1)))))*B$22)+Inputs!$C$50)/Waterfall!$C$6</f>
        <v>2.0440448142102396</v>
      </c>
      <c r="C27" s="12">
        <f>(Waterfall!$C$6+IF(((Waterfall!$C$6*((1+$A27)^Waterfall!$C$20-1))+(Waterfall!$D$6*((1+$A27)^Waterfall!$C$20-1))+(Waterfall!$E$6*((1+$A27)^Waterfall!$E$20-1)))&gt;0,MIN((Waterfall!$F$12-Waterfall!$F$6),((Waterfall!$C$6*((1+$A27)^Waterfall!$C$20-1))+(Waterfall!$D$6*((1+$A27)^Waterfall!$C$20-1))+(Waterfall!$E$6*((1+$A27)^Waterfall!$E$20-1))))*(Waterfall!$C$6*((1+$A27)^Waterfall!$C$20-1))/((Waterfall!$C$6*((1+$A27)^Waterfall!$C$20-1))+(Waterfall!$D$6*((1+$A27)^Waterfall!$C$20-1))+(Waterfall!$E$6*((1+$A27)^Waterfall!$E$20-1))),0)+(MAX(0,(Waterfall!$F$12-Waterfall!$F$6)-MIN((Waterfall!$F$12-Waterfall!$F$6),((Waterfall!$C$6*((1+$A27)^Waterfall!$C$20-1))+(Waterfall!$D$6*((1+$A27)^Waterfall!$C$20-1))+(Waterfall!$E$6*((1+$A27)^Waterfall!$E$20-1)))))*(1-C$22)*Waterfall!$C$6/Waterfall!$F$6)+(MAX(0,(Waterfall!$F$12-Waterfall!$F$6)-MIN((Waterfall!$F$12-Waterfall!$F$6),((Waterfall!$C$6*((1+$A27)^Waterfall!$C$20-1))+(Waterfall!$D$6*((1+$A27)^Waterfall!$C$20-1))+(Waterfall!$E$6*((1+$A27)^Waterfall!$E$20-1)))))*C$22)+Inputs!$C$50)/Waterfall!$C$6</f>
        <v>2.1475969697131339</v>
      </c>
      <c r="D27" s="12">
        <f>(Waterfall!$C$6+IF(((Waterfall!$C$6*((1+$A27)^Waterfall!$C$20-1))+(Waterfall!$D$6*((1+$A27)^Waterfall!$C$20-1))+(Waterfall!$E$6*((1+$A27)^Waterfall!$E$20-1)))&gt;0,MIN((Waterfall!$F$12-Waterfall!$F$6),((Waterfall!$C$6*((1+$A27)^Waterfall!$C$20-1))+(Waterfall!$D$6*((1+$A27)^Waterfall!$C$20-1))+(Waterfall!$E$6*((1+$A27)^Waterfall!$E$20-1))))*(Waterfall!$C$6*((1+$A27)^Waterfall!$C$20-1))/((Waterfall!$C$6*((1+$A27)^Waterfall!$C$20-1))+(Waterfall!$D$6*((1+$A27)^Waterfall!$C$20-1))+(Waterfall!$E$6*((1+$A27)^Waterfall!$E$20-1))),0)+(MAX(0,(Waterfall!$F$12-Waterfall!$F$6)-MIN((Waterfall!$F$12-Waterfall!$F$6),((Waterfall!$C$6*((1+$A27)^Waterfall!$C$20-1))+(Waterfall!$D$6*((1+$A27)^Waterfall!$C$20-1))+(Waterfall!$E$6*((1+$A27)^Waterfall!$E$20-1)))))*(1-D$22)*Waterfall!$C$6/Waterfall!$F$6)+(MAX(0,(Waterfall!$F$12-Waterfall!$F$6)-MIN((Waterfall!$F$12-Waterfall!$F$6),((Waterfall!$C$6*((1+$A27)^Waterfall!$C$20-1))+(Waterfall!$D$6*((1+$A27)^Waterfall!$C$20-1))+(Waterfall!$E$6*((1+$A27)^Waterfall!$E$20-1)))))*D$22)+Inputs!$C$50)/Waterfall!$C$6</f>
        <v>2.2511491252160281</v>
      </c>
      <c r="E27" s="12">
        <f>(Waterfall!$C$6+IF(((Waterfall!$C$6*((1+$A27)^Waterfall!$C$20-1))+(Waterfall!$D$6*((1+$A27)^Waterfall!$C$20-1))+(Waterfall!$E$6*((1+$A27)^Waterfall!$E$20-1)))&gt;0,MIN((Waterfall!$F$12-Waterfall!$F$6),((Waterfall!$C$6*((1+$A27)^Waterfall!$C$20-1))+(Waterfall!$D$6*((1+$A27)^Waterfall!$C$20-1))+(Waterfall!$E$6*((1+$A27)^Waterfall!$E$20-1))))*(Waterfall!$C$6*((1+$A27)^Waterfall!$C$20-1))/((Waterfall!$C$6*((1+$A27)^Waterfall!$C$20-1))+(Waterfall!$D$6*((1+$A27)^Waterfall!$C$20-1))+(Waterfall!$E$6*((1+$A27)^Waterfall!$E$20-1))),0)+(MAX(0,(Waterfall!$F$12-Waterfall!$F$6)-MIN((Waterfall!$F$12-Waterfall!$F$6),((Waterfall!$C$6*((1+$A27)^Waterfall!$C$20-1))+(Waterfall!$D$6*((1+$A27)^Waterfall!$C$20-1))+(Waterfall!$E$6*((1+$A27)^Waterfall!$E$20-1)))))*(1-E$22)*Waterfall!$C$6/Waterfall!$F$6)+(MAX(0,(Waterfall!$F$12-Waterfall!$F$6)-MIN((Waterfall!$F$12-Waterfall!$F$6),((Waterfall!$C$6*((1+$A27)^Waterfall!$C$20-1))+(Waterfall!$D$6*((1+$A27)^Waterfall!$C$20-1))+(Waterfall!$E$6*((1+$A27)^Waterfall!$E$20-1)))))*E$22)+Inputs!$C$50)/Waterfall!$C$6</f>
        <v>2.3547012807189223</v>
      </c>
      <c r="F27" s="12">
        <f>(Waterfall!$C$6+IF(((Waterfall!$C$6*((1+$A27)^Waterfall!$C$20-1))+(Waterfall!$D$6*((1+$A27)^Waterfall!$C$20-1))+(Waterfall!$E$6*((1+$A27)^Waterfall!$E$20-1)))&gt;0,MIN((Waterfall!$F$12-Waterfall!$F$6),((Waterfall!$C$6*((1+$A27)^Waterfall!$C$20-1))+(Waterfall!$D$6*((1+$A27)^Waterfall!$C$20-1))+(Waterfall!$E$6*((1+$A27)^Waterfall!$E$20-1))))*(Waterfall!$C$6*((1+$A27)^Waterfall!$C$20-1))/((Waterfall!$C$6*((1+$A27)^Waterfall!$C$20-1))+(Waterfall!$D$6*((1+$A27)^Waterfall!$C$20-1))+(Waterfall!$E$6*((1+$A27)^Waterfall!$E$20-1))),0)+(MAX(0,(Waterfall!$F$12-Waterfall!$F$6)-MIN((Waterfall!$F$12-Waterfall!$F$6),((Waterfall!$C$6*((1+$A27)^Waterfall!$C$20-1))+(Waterfall!$D$6*((1+$A27)^Waterfall!$C$20-1))+(Waterfall!$E$6*((1+$A27)^Waterfall!$E$20-1)))))*(1-F$22)*Waterfall!$C$6/Waterfall!$F$6)+(MAX(0,(Waterfall!$F$12-Waterfall!$F$6)-MIN((Waterfall!$F$12-Waterfall!$F$6),((Waterfall!$C$6*((1+$A27)^Waterfall!$C$20-1))+(Waterfall!$D$6*((1+$A27)^Waterfall!$C$20-1))+(Waterfall!$E$6*((1+$A27)^Waterfall!$E$20-1)))))*F$22)+Inputs!$C$50)/Waterfall!$C$6</f>
        <v>2.458253436221816</v>
      </c>
      <c r="G27" s="92"/>
    </row>
    <row r="28" spans="1:7" x14ac:dyDescent="0.25">
      <c r="A28" s="92"/>
      <c r="B28" s="92"/>
      <c r="C28" s="92"/>
      <c r="D28" s="92"/>
      <c r="E28" s="92"/>
      <c r="F28" s="92"/>
      <c r="G28" s="92"/>
    </row>
    <row r="29" spans="1:7" x14ac:dyDescent="0.25">
      <c r="A29" s="220" t="s">
        <v>166</v>
      </c>
      <c r="B29" s="220"/>
      <c r="C29" s="220"/>
      <c r="D29" s="220"/>
      <c r="E29" s="220"/>
      <c r="F29" s="220"/>
      <c r="G29" s="220"/>
    </row>
    <row r="31" spans="1:7" x14ac:dyDescent="0.25">
      <c r="A31" s="59" t="s">
        <v>582</v>
      </c>
      <c r="B31" s="60"/>
      <c r="C31" s="60"/>
      <c r="D31" s="60"/>
      <c r="E31" s="60"/>
      <c r="F31" s="60"/>
      <c r="G31" s="61"/>
    </row>
    <row r="32" spans="1:7" x14ac:dyDescent="0.25">
      <c r="A32" s="62" t="s">
        <v>583</v>
      </c>
      <c r="B32" s="66">
        <f>Summary!$M$8/Inputs!$C$25</f>
        <v>0.16290291315910208</v>
      </c>
      <c r="C32" s="54"/>
      <c r="D32" s="54"/>
      <c r="E32" s="54"/>
      <c r="F32" s="54"/>
      <c r="G32" s="47"/>
    </row>
    <row r="33" spans="1:7" x14ac:dyDescent="0.25">
      <c r="A33" s="62" t="s">
        <v>584</v>
      </c>
      <c r="B33" s="66">
        <f>Summary!$M$8/(Inputs!$C$53+Engine!$B$21)</f>
        <v>0.19460456346094546</v>
      </c>
      <c r="C33" s="54"/>
      <c r="D33" s="54"/>
      <c r="E33" s="54"/>
      <c r="F33" s="54"/>
      <c r="G33" s="47"/>
    </row>
    <row r="34" spans="1:7" x14ac:dyDescent="0.25">
      <c r="A34" s="62" t="s">
        <v>585</v>
      </c>
      <c r="B34" s="161">
        <f>(Inputs!$C$53+Engine!$B$21)/(1-Inputs!$C$24)</f>
        <v>3222823.7843374568</v>
      </c>
      <c r="C34" s="54"/>
      <c r="D34" s="54"/>
      <c r="E34" s="54"/>
      <c r="F34" s="54"/>
      <c r="G34" s="47"/>
    </row>
    <row r="35" spans="1:7" x14ac:dyDescent="0.25">
      <c r="A35" s="62" t="s">
        <v>586</v>
      </c>
      <c r="B35" s="66">
        <f>Summary!$M$8/(Inputs!$C$53+Engine!$B$21)-Inputs!$C$47</f>
        <v>-5.3954365390545544E-3</v>
      </c>
      <c r="C35" s="54"/>
      <c r="D35" s="54"/>
      <c r="E35" s="54"/>
      <c r="F35" s="54"/>
      <c r="G35" s="47"/>
    </row>
    <row r="36" spans="1:7" x14ac:dyDescent="0.25">
      <c r="A36" s="260" t="s">
        <v>587</v>
      </c>
      <c r="B36" s="261"/>
      <c r="C36" s="261"/>
      <c r="D36" s="261"/>
      <c r="E36" s="261"/>
      <c r="F36" s="261"/>
      <c r="G36" s="262"/>
    </row>
  </sheetData>
  <sheetProtection algorithmName="SHA-512" hashValue="5CswI6+iuQf3nnrcxwc8pkzNKvNHbNBT9M6eWycoeuNNEx3jUjJhRfdz6/7rjjbcdawUfConyYds3uWgKJgzIQ==" saltValue="CMGxt0hL0yVlG46yzBBoYg==" spinCount="100000" sheet="1" objects="1" scenarios="1"/>
  <mergeCells count="7">
    <mergeCell ref="A31:G31"/>
    <mergeCell ref="A36:G36"/>
    <mergeCell ref="A1:G1"/>
    <mergeCell ref="A2:G2"/>
    <mergeCell ref="A5:G5"/>
    <mergeCell ref="A19:G19"/>
    <mergeCell ref="A29:G29"/>
  </mergeCells>
  <conditionalFormatting sqref="B10:F15">
    <cfRule type="colorScale" priority="2">
      <colorScale>
        <cfvo type="num" val="0"/>
        <cfvo type="num" val="0.1"/>
        <cfvo type="num" val="0.2"/>
        <color rgb="FFF4B7B7"/>
        <color rgb="FFFDE7A9"/>
        <color rgb="FFB7E1B7"/>
      </colorScale>
    </cfRule>
  </conditionalFormatting>
  <conditionalFormatting sqref="B23:F27">
    <cfRule type="colorScale" priority="3">
      <colorScale>
        <cfvo type="num" val="1.5"/>
        <cfvo type="num" val="2.5"/>
        <cfvo type="num" val="3.5"/>
        <color rgb="FFF4B7B7"/>
        <color rgb="FFFDE7A9"/>
        <color rgb="FFB7E1B7"/>
      </colorScale>
    </cfRule>
  </conditionalFormatting>
  <pageMargins left="0.75" right="0.75" top="1" bottom="1" header="0.511811023622047" footer="0.511811023622047"/>
  <pageSetup paperSize="9" orientation="portrait" horizontalDpi="300" verticalDpi="300"/>
  <headerFooter>
    <oddHeader>&amp;C&amp;"Aptos"&amp;10&amp;K008000 This Email / Document has been classified as Public by Olu Oke&amp;1#_x000D_</oddHeader>
    <oddFooter>&amp;C_x000D_&amp;1#&amp;"Aptos"&amp;10&amp;K000000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7A44"/>
  </sheetPr>
  <dimension ref="A1:G45"/>
  <sheetViews>
    <sheetView showGridLines="0" topLeftCell="A7" zoomScaleNormal="100" workbookViewId="0">
      <selection sqref="A1:G1"/>
    </sheetView>
  </sheetViews>
  <sheetFormatPr defaultColWidth="8.7109375" defaultRowHeight="15" x14ac:dyDescent="0.25"/>
  <cols>
    <col min="1" max="1" width="40" customWidth="1"/>
    <col min="2" max="2" width="3" customWidth="1"/>
    <col min="3" max="7" width="15" customWidth="1"/>
  </cols>
  <sheetData>
    <row r="1" spans="1:7" ht="25.5" customHeight="1" x14ac:dyDescent="0.25">
      <c r="A1" s="221" t="s">
        <v>202</v>
      </c>
      <c r="B1" s="221"/>
      <c r="C1" s="221"/>
      <c r="D1" s="221"/>
      <c r="E1" s="221"/>
      <c r="F1" s="221"/>
      <c r="G1" s="221"/>
    </row>
    <row r="2" spans="1:7" ht="30" customHeight="1" x14ac:dyDescent="0.25">
      <c r="A2" s="222" t="str">
        <f>"Self-funded, Bank-financed, Mixed and Off-plan are like-for-like closed-form estimates. The last column links the exact engine for the route selected on Inputs.  All amounts in "&amp;Inputs!$C$80&amp;" ("&amp;Inputs!$C$79&amp;")."</f>
        <v>Self-funded, Bank-financed, Mixed and Off-plan are like-for-like closed-form estimates. The last column links the exact engine for the route selected on Inputs.  All amounts in NGN (₦).</v>
      </c>
      <c r="B2" s="222"/>
      <c r="C2" s="222"/>
      <c r="D2" s="222"/>
      <c r="E2" s="222"/>
      <c r="F2" s="222"/>
      <c r="G2" s="222"/>
    </row>
    <row r="3" spans="1:7" x14ac:dyDescent="0.25">
      <c r="A3" s="92"/>
      <c r="B3" s="92"/>
      <c r="C3" s="92"/>
      <c r="D3" s="92"/>
      <c r="E3" s="92"/>
      <c r="F3" s="92"/>
      <c r="G3" s="92"/>
    </row>
    <row r="4" spans="1:7" ht="19.5" customHeight="1" x14ac:dyDescent="0.25">
      <c r="A4" s="178" t="s">
        <v>167</v>
      </c>
      <c r="B4" s="178"/>
      <c r="C4" s="178"/>
      <c r="D4" s="178"/>
      <c r="E4" s="178"/>
      <c r="F4" s="178"/>
      <c r="G4" s="178"/>
    </row>
    <row r="5" spans="1:7" x14ac:dyDescent="0.25">
      <c r="A5" s="181" t="s">
        <v>168</v>
      </c>
      <c r="B5" s="92"/>
      <c r="C5" s="13">
        <v>0.55000000000000004</v>
      </c>
      <c r="D5" s="223" t="s">
        <v>169</v>
      </c>
      <c r="E5" s="92"/>
      <c r="F5" s="92"/>
      <c r="G5" s="92"/>
    </row>
    <row r="6" spans="1:7" x14ac:dyDescent="0.25">
      <c r="A6" s="181" t="s">
        <v>170</v>
      </c>
      <c r="B6" s="92"/>
      <c r="C6" s="14">
        <f>Inputs!$C$35/12</f>
        <v>2.5</v>
      </c>
      <c r="D6" s="223" t="s">
        <v>171</v>
      </c>
      <c r="E6" s="92"/>
      <c r="F6" s="92"/>
      <c r="G6" s="92"/>
    </row>
    <row r="7" spans="1:7" x14ac:dyDescent="0.25">
      <c r="A7" s="181" t="s">
        <v>172</v>
      </c>
      <c r="B7" s="92"/>
      <c r="C7" s="13">
        <v>0.8</v>
      </c>
      <c r="D7" s="223" t="s">
        <v>173</v>
      </c>
      <c r="E7" s="92"/>
      <c r="F7" s="92"/>
      <c r="G7" s="92"/>
    </row>
    <row r="8" spans="1:7" x14ac:dyDescent="0.25">
      <c r="A8" s="181" t="s">
        <v>174</v>
      </c>
      <c r="B8" s="92"/>
      <c r="C8" s="13">
        <v>0.12</v>
      </c>
      <c r="D8" s="223" t="s">
        <v>85</v>
      </c>
      <c r="E8" s="92"/>
      <c r="F8" s="92"/>
      <c r="G8" s="92"/>
    </row>
    <row r="9" spans="1:7" x14ac:dyDescent="0.25">
      <c r="A9" s="181" t="s">
        <v>175</v>
      </c>
      <c r="B9" s="92"/>
      <c r="C9" s="13">
        <v>0.5</v>
      </c>
      <c r="D9" s="223" t="s">
        <v>176</v>
      </c>
      <c r="E9" s="92"/>
      <c r="F9" s="92"/>
      <c r="G9" s="92"/>
    </row>
    <row r="10" spans="1:7" x14ac:dyDescent="0.25">
      <c r="A10" s="181" t="s">
        <v>177</v>
      </c>
      <c r="B10" s="92"/>
      <c r="C10" s="13">
        <v>0.5</v>
      </c>
      <c r="D10" s="223" t="s">
        <v>178</v>
      </c>
      <c r="E10" s="92"/>
      <c r="F10" s="92"/>
      <c r="G10" s="92"/>
    </row>
    <row r="11" spans="1:7" x14ac:dyDescent="0.25">
      <c r="A11" s="181" t="s">
        <v>179</v>
      </c>
      <c r="B11" s="92"/>
      <c r="C11" s="13">
        <v>0.1</v>
      </c>
      <c r="D11" s="223" t="s">
        <v>85</v>
      </c>
      <c r="E11" s="92"/>
      <c r="F11" s="92"/>
      <c r="G11" s="92"/>
    </row>
    <row r="12" spans="1:7" x14ac:dyDescent="0.25">
      <c r="A12" s="92"/>
      <c r="B12" s="92"/>
      <c r="C12" s="92"/>
      <c r="D12" s="92"/>
      <c r="E12" s="92"/>
      <c r="F12" s="92"/>
      <c r="G12" s="92"/>
    </row>
    <row r="13" spans="1:7" ht="19.5" customHeight="1" x14ac:dyDescent="0.25">
      <c r="A13" s="178" t="s">
        <v>180</v>
      </c>
      <c r="B13" s="178"/>
      <c r="C13" s="178"/>
      <c r="D13" s="178"/>
      <c r="E13" s="178"/>
      <c r="F13" s="178"/>
      <c r="G13" s="178"/>
    </row>
    <row r="14" spans="1:7" ht="27.75" customHeight="1" x14ac:dyDescent="0.25">
      <c r="A14" s="171" t="s">
        <v>181</v>
      </c>
      <c r="B14" s="92"/>
      <c r="C14" s="224" t="s">
        <v>48</v>
      </c>
      <c r="D14" s="224" t="s">
        <v>49</v>
      </c>
      <c r="E14" s="224" t="s">
        <v>182</v>
      </c>
      <c r="F14" s="224" t="str">
        <f>IF(Inputs!$C$5="Joint venture","JV plus land-for-equity","Selected route: "&amp;Inputs!$C$5)</f>
        <v>JV plus land-for-equity</v>
      </c>
      <c r="G14" s="224" t="s">
        <v>183</v>
      </c>
    </row>
    <row r="15" spans="1:7" x14ac:dyDescent="0.25">
      <c r="A15" s="181" t="s">
        <v>184</v>
      </c>
      <c r="B15" s="92"/>
      <c r="C15" s="180">
        <f>0</f>
        <v>0</v>
      </c>
      <c r="D15" s="180">
        <f>MIN(Inputs!$C$39*(Inputs!$C$51+Inputs!$C$30+Inputs!$C$31),Inputs!$C$40*Inputs!$C$23)</f>
        <v>1705764.5999999999</v>
      </c>
      <c r="E15" s="180">
        <f>MIN(Inputs!$C$39*(Inputs!$C$51+Inputs!$C$30+Inputs!$C$31),Inputs!$C$40*Inputs!$C$23)</f>
        <v>1705764.5999999999</v>
      </c>
      <c r="F15" s="180">
        <f>Inputs!$C$54</f>
        <v>1736214.5999999999</v>
      </c>
      <c r="G15" s="180">
        <f>MAX(0,(Inputs!$C$29+0.3*Inputs!$C$27+Inputs!$C$30+Inputs!$C$31))</f>
        <v>625595.1</v>
      </c>
    </row>
    <row r="16" spans="1:7" x14ac:dyDescent="0.25">
      <c r="A16" s="181" t="s">
        <v>185</v>
      </c>
      <c r="B16" s="92"/>
      <c r="C16" s="180">
        <f>0</f>
        <v>0</v>
      </c>
      <c r="D16" s="180">
        <f>0</f>
        <v>0</v>
      </c>
      <c r="E16" s="180">
        <f>MAX(0,Comparison!$C$7*(Inputs!$C$51+Inputs!$C$30+Inputs!$C$31)-Comparison!E15)</f>
        <v>568588.20000000042</v>
      </c>
      <c r="F16" s="180">
        <f>0</f>
        <v>0</v>
      </c>
      <c r="G16" s="180">
        <f>0</f>
        <v>0</v>
      </c>
    </row>
    <row r="17" spans="1:7" x14ac:dyDescent="0.25">
      <c r="A17" s="181" t="s">
        <v>186</v>
      </c>
      <c r="B17" s="92"/>
      <c r="C17" s="180">
        <f>0</f>
        <v>0</v>
      </c>
      <c r="D17" s="180">
        <f>0</f>
        <v>0</v>
      </c>
      <c r="E17" s="180">
        <f>0</f>
        <v>0</v>
      </c>
      <c r="F17" s="180">
        <f>0</f>
        <v>0</v>
      </c>
      <c r="G17" s="180">
        <f>Comparison!$C$9*Inputs!$C$25*Comparison!$C$10</f>
        <v>943250</v>
      </c>
    </row>
    <row r="18" spans="1:7" x14ac:dyDescent="0.25">
      <c r="A18" s="92"/>
      <c r="B18" s="92"/>
      <c r="C18" s="92"/>
      <c r="D18" s="92"/>
      <c r="E18" s="92"/>
      <c r="F18" s="92"/>
      <c r="G18" s="92"/>
    </row>
    <row r="19" spans="1:7" ht="19.5" customHeight="1" x14ac:dyDescent="0.25">
      <c r="A19" s="178" t="s">
        <v>187</v>
      </c>
      <c r="B19" s="178"/>
      <c r="C19" s="178"/>
      <c r="D19" s="178"/>
      <c r="E19" s="178"/>
      <c r="F19" s="178"/>
      <c r="G19" s="178"/>
    </row>
    <row r="20" spans="1:7" x14ac:dyDescent="0.25">
      <c r="A20" s="181" t="s">
        <v>188</v>
      </c>
      <c r="B20" s="92"/>
      <c r="C20" s="180">
        <f>(Inputs!$C$51+Inputs!$C$30+Inputs!$C$31)</f>
        <v>2842941</v>
      </c>
      <c r="D20" s="180">
        <f>(Inputs!$C$51+Inputs!$C$30+Inputs!$C$31)</f>
        <v>2842941</v>
      </c>
      <c r="E20" s="180">
        <f>(Inputs!$C$51+Inputs!$C$30+Inputs!$C$31)</f>
        <v>2842941</v>
      </c>
      <c r="F20" s="180">
        <f>(Inputs!$C$51+Inputs!$C$50+Inputs!$C$30)</f>
        <v>2893691</v>
      </c>
      <c r="G20" s="180">
        <f>(Inputs!$C$51+Inputs!$C$30+Inputs!$C$31)</f>
        <v>2842941</v>
      </c>
    </row>
    <row r="21" spans="1:7" x14ac:dyDescent="0.25">
      <c r="A21" s="181" t="s">
        <v>189</v>
      </c>
      <c r="B21" s="92"/>
      <c r="C21" s="180">
        <f>0</f>
        <v>0</v>
      </c>
      <c r="D21" s="180">
        <f>Comparison!D15*Inputs!$C$41*Comparison!$C$5*Comparison!$C$6+Comparison!D15*Inputs!$C$42+Comparison!D15*Inputs!$C$43</f>
        <v>253732.48424999998</v>
      </c>
      <c r="E21" s="180">
        <f>Comparison!E15*Inputs!$C$41*Comparison!$C$5*Comparison!$C$6+Comparison!E15*Inputs!$C$42+Comparison!E15*Inputs!$C$43+Comparison!E16*Comparison!$C$8*Comparison!$C$5*Comparison!$C$6</f>
        <v>347549.53725000005</v>
      </c>
      <c r="F21" s="180">
        <f>Engine!$B$21</f>
        <v>264676.30865070806</v>
      </c>
      <c r="G21" s="180">
        <f>Comparison!G15*Comparison!$C$11*0.6*(Inputs!$C$34-Inputs!$C$33+1)/12</f>
        <v>65687.485499999995</v>
      </c>
    </row>
    <row r="22" spans="1:7" x14ac:dyDescent="0.25">
      <c r="A22" s="173" t="s">
        <v>190</v>
      </c>
      <c r="B22" s="92"/>
      <c r="C22" s="174">
        <f>Comparison!C20+Comparison!C21</f>
        <v>2842941</v>
      </c>
      <c r="D22" s="174">
        <f>Comparison!D20+Comparison!D21</f>
        <v>3096673.4842499997</v>
      </c>
      <c r="E22" s="174">
        <f>Comparison!E20+Comparison!E21</f>
        <v>3190490.5372500001</v>
      </c>
      <c r="F22" s="174">
        <f>Comparison!F20+Comparison!F21</f>
        <v>3158367.3086507078</v>
      </c>
      <c r="G22" s="174">
        <f>Comparison!G20+Comparison!G21</f>
        <v>2908628.4855</v>
      </c>
    </row>
    <row r="23" spans="1:7" x14ac:dyDescent="0.25">
      <c r="A23" s="92"/>
      <c r="B23" s="92"/>
      <c r="C23" s="92"/>
      <c r="D23" s="92"/>
      <c r="E23" s="92"/>
      <c r="F23" s="92"/>
      <c r="G23" s="92"/>
    </row>
    <row r="24" spans="1:7" ht="19.5" customHeight="1" x14ac:dyDescent="0.25">
      <c r="A24" s="178" t="s">
        <v>191</v>
      </c>
      <c r="B24" s="178"/>
      <c r="C24" s="178"/>
      <c r="D24" s="178"/>
      <c r="E24" s="178"/>
      <c r="F24" s="178"/>
      <c r="G24" s="178"/>
    </row>
    <row r="25" spans="1:7" x14ac:dyDescent="0.25">
      <c r="A25" s="181" t="s">
        <v>123</v>
      </c>
      <c r="B25" s="92"/>
      <c r="C25" s="180">
        <f>Comparison!C22</f>
        <v>2842941</v>
      </c>
      <c r="D25" s="180">
        <f>Comparison!D22-Comparison!D15</f>
        <v>1390908.8842499999</v>
      </c>
      <c r="E25" s="180">
        <f>Comparison!E22-Comparison!E15-Comparison!E16</f>
        <v>916137.73724999977</v>
      </c>
      <c r="F25" s="180">
        <f>Engine!$B$24</f>
        <v>219530.12209134857</v>
      </c>
      <c r="G25" s="180">
        <f>MAX(0,Comparison!G22-Comparison!G15-Comparison!G17)</f>
        <v>1339783.3854999999</v>
      </c>
    </row>
    <row r="26" spans="1:7" x14ac:dyDescent="0.25">
      <c r="A26" s="181" t="s">
        <v>124</v>
      </c>
      <c r="B26" s="92"/>
      <c r="C26" s="180">
        <f>0</f>
        <v>0</v>
      </c>
      <c r="D26" s="180">
        <f>0</f>
        <v>0</v>
      </c>
      <c r="E26" s="180">
        <f>0</f>
        <v>0</v>
      </c>
      <c r="F26" s="180">
        <f>Engine!$B$25</f>
        <v>512236.95154647989</v>
      </c>
      <c r="G26" s="180">
        <f>0</f>
        <v>0</v>
      </c>
    </row>
    <row r="27" spans="1:7" x14ac:dyDescent="0.25">
      <c r="A27" s="181" t="s">
        <v>192</v>
      </c>
      <c r="B27" s="92"/>
      <c r="C27" s="180">
        <f>0</f>
        <v>0</v>
      </c>
      <c r="D27" s="180">
        <f>0</f>
        <v>0</v>
      </c>
      <c r="E27" s="180">
        <f>0</f>
        <v>0</v>
      </c>
      <c r="F27" s="180">
        <f>Inputs!$C$30</f>
        <v>525000</v>
      </c>
      <c r="G27" s="180">
        <f>0</f>
        <v>0</v>
      </c>
    </row>
    <row r="28" spans="1:7" x14ac:dyDescent="0.25">
      <c r="A28" s="173" t="s">
        <v>193</v>
      </c>
      <c r="B28" s="92"/>
      <c r="C28" s="174">
        <f>Comparison!C15+Comparison!C16+Comparison!C25+Comparison!C26+Comparison!C27</f>
        <v>2842941</v>
      </c>
      <c r="D28" s="174">
        <f>Comparison!D15+Comparison!D16+Comparison!D25+Comparison!D26+Comparison!D27</f>
        <v>3096673.4842499997</v>
      </c>
      <c r="E28" s="174">
        <f>Comparison!E15+Comparison!E16+Comparison!E25+Comparison!E26+Comparison!E27</f>
        <v>3190490.5372500001</v>
      </c>
      <c r="F28" s="174">
        <f>Comparison!F15+Comparison!F16+Comparison!F25+Comparison!F26+Comparison!F27</f>
        <v>2992981.6736378283</v>
      </c>
      <c r="G28" s="174">
        <f>Comparison!G15+Comparison!G16+Comparison!G25+Comparison!G26+Comparison!G27</f>
        <v>1965378.4855</v>
      </c>
    </row>
    <row r="29" spans="1:7" x14ac:dyDescent="0.25">
      <c r="A29" s="92"/>
      <c r="B29" s="92"/>
      <c r="C29" s="92"/>
      <c r="D29" s="92"/>
      <c r="E29" s="92"/>
      <c r="F29" s="92"/>
      <c r="G29" s="92"/>
    </row>
    <row r="30" spans="1:7" ht="19.5" customHeight="1" x14ac:dyDescent="0.25">
      <c r="A30" s="178" t="s">
        <v>194</v>
      </c>
      <c r="B30" s="178"/>
      <c r="C30" s="178"/>
      <c r="D30" s="178"/>
      <c r="E30" s="178"/>
      <c r="F30" s="178"/>
      <c r="G30" s="178"/>
    </row>
    <row r="31" spans="1:7" x14ac:dyDescent="0.25">
      <c r="A31" s="173" t="s">
        <v>36</v>
      </c>
      <c r="B31" s="92"/>
      <c r="C31" s="174">
        <f>Inputs!$C$25-Comparison!C22</f>
        <v>930059</v>
      </c>
      <c r="D31" s="174">
        <f>Inputs!$C$25-Comparison!D22</f>
        <v>676326.51575000025</v>
      </c>
      <c r="E31" s="174">
        <f>Inputs!$C$25-Comparison!E22</f>
        <v>582509.46274999995</v>
      </c>
      <c r="F31" s="174">
        <f>Inputs!$C$25-Comparison!F22</f>
        <v>614632.69134929217</v>
      </c>
      <c r="G31" s="174">
        <f>Inputs!$C$25-Comparison!G22</f>
        <v>864371.51450000005</v>
      </c>
    </row>
    <row r="32" spans="1:7" x14ac:dyDescent="0.25">
      <c r="A32" s="173" t="s">
        <v>35</v>
      </c>
      <c r="B32" s="92"/>
      <c r="C32" s="15">
        <f>Comparison!C31/Comparison!C22</f>
        <v>0.32714678215270737</v>
      </c>
      <c r="D32" s="15">
        <f>Comparison!D31/Comparison!D22</f>
        <v>0.21840420670434471</v>
      </c>
      <c r="E32" s="15">
        <f>Comparison!E31/Comparison!E22</f>
        <v>0.1825767718001402</v>
      </c>
      <c r="F32" s="15">
        <f>Comparison!F31/Comparison!F22</f>
        <v>0.19460456346094546</v>
      </c>
      <c r="G32" s="15">
        <f>Comparison!G31/Comparison!G22</f>
        <v>0.29717494647702064</v>
      </c>
    </row>
    <row r="33" spans="1:7" x14ac:dyDescent="0.25">
      <c r="A33" s="181" t="s">
        <v>195</v>
      </c>
      <c r="B33" s="92"/>
      <c r="C33" s="180">
        <f>Comparison!C25</f>
        <v>2842941</v>
      </c>
      <c r="D33" s="180">
        <f>Comparison!D25</f>
        <v>1390908.8842499999</v>
      </c>
      <c r="E33" s="180">
        <f>Comparison!E25</f>
        <v>916137.73724999977</v>
      </c>
      <c r="F33" s="180">
        <f>Comparison!F25</f>
        <v>219530.12209134857</v>
      </c>
      <c r="G33" s="180">
        <f>Comparison!G25</f>
        <v>1339783.3854999999</v>
      </c>
    </row>
    <row r="34" spans="1:7" x14ac:dyDescent="0.25">
      <c r="A34" s="181" t="s">
        <v>196</v>
      </c>
      <c r="B34" s="92"/>
      <c r="C34" s="180">
        <f>Comparison!C31+Comparison!C25</f>
        <v>3773000</v>
      </c>
      <c r="D34" s="180">
        <f>Comparison!D31+Comparison!D25</f>
        <v>2067235.4000000001</v>
      </c>
      <c r="E34" s="180">
        <f>Comparison!E31+Comparison!E25</f>
        <v>1498647.1999999997</v>
      </c>
      <c r="F34" s="180">
        <f>Waterfall!$C$33</f>
        <v>551692.03335595096</v>
      </c>
      <c r="G34" s="180">
        <f>Comparison!G31+Comparison!G25</f>
        <v>2204154.9</v>
      </c>
    </row>
    <row r="35" spans="1:7" x14ac:dyDescent="0.25">
      <c r="A35" s="173" t="s">
        <v>197</v>
      </c>
      <c r="B35" s="92"/>
      <c r="C35" s="174">
        <f>Comparison!C31</f>
        <v>930059</v>
      </c>
      <c r="D35" s="174">
        <f>Comparison!D31</f>
        <v>676326.51575000025</v>
      </c>
      <c r="E35" s="174">
        <f>Comparison!E31</f>
        <v>582509.46274999995</v>
      </c>
      <c r="F35" s="174">
        <f>Waterfall!$C$33-Engine!$B$24</f>
        <v>332161.91126460239</v>
      </c>
      <c r="G35" s="174">
        <f>Comparison!G31</f>
        <v>864371.51450000005</v>
      </c>
    </row>
    <row r="36" spans="1:7" x14ac:dyDescent="0.25">
      <c r="A36" s="173" t="s">
        <v>198</v>
      </c>
      <c r="B36" s="92"/>
      <c r="C36" s="4">
        <f>IFERROR(Comparison!C34/Comparison!C25,"-")</f>
        <v>1.3271467821527074</v>
      </c>
      <c r="D36" s="4">
        <f>IFERROR(Comparison!D34/Comparison!D25,"-")</f>
        <v>1.4862478940269954</v>
      </c>
      <c r="E36" s="4">
        <f>IFERROR(Comparison!E34/Comparison!E25,"-")</f>
        <v>1.6358317522194179</v>
      </c>
      <c r="F36" s="4">
        <f>IFERROR(Comparison!F34/Comparison!F25,"-")</f>
        <v>2.5130584727975811</v>
      </c>
      <c r="G36" s="4">
        <f>IFERROR(Comparison!G34/Comparison!G25,"-")</f>
        <v>1.645157660450776</v>
      </c>
    </row>
    <row r="37" spans="1:7" x14ac:dyDescent="0.25">
      <c r="A37" s="181" t="s">
        <v>37</v>
      </c>
      <c r="B37" s="92"/>
      <c r="C37" s="11" t="str">
        <f>"-"</f>
        <v>-</v>
      </c>
      <c r="D37" s="11" t="str">
        <f>"-"</f>
        <v>-</v>
      </c>
      <c r="E37" s="11" t="str">
        <f>"-"</f>
        <v>-</v>
      </c>
      <c r="F37" s="11">
        <f>Waterfall!$D$33/Engine!$B$25</f>
        <v>1.2654359979865755</v>
      </c>
      <c r="G37" s="11" t="str">
        <f>"-"</f>
        <v>-</v>
      </c>
    </row>
    <row r="38" spans="1:7" x14ac:dyDescent="0.25">
      <c r="A38" s="181" t="s">
        <v>39</v>
      </c>
      <c r="B38" s="92"/>
      <c r="C38" s="180">
        <f>Inputs!$C$30</f>
        <v>525000</v>
      </c>
      <c r="D38" s="180">
        <f>Inputs!$C$30</f>
        <v>525000</v>
      </c>
      <c r="E38" s="180">
        <f>Inputs!$C$30</f>
        <v>525000</v>
      </c>
      <c r="F38" s="180">
        <f>Waterfall!$E$33</f>
        <v>748504.65364534897</v>
      </c>
      <c r="G38" s="180">
        <f>Inputs!$C$30</f>
        <v>525000</v>
      </c>
    </row>
    <row r="39" spans="1:7" x14ac:dyDescent="0.25">
      <c r="A39" s="225" t="s">
        <v>347</v>
      </c>
      <c r="B39" s="111"/>
      <c r="C39" s="42">
        <f>(C25+C26+C27+C31)/(C25+C26+C27)</f>
        <v>1.3271467821527074</v>
      </c>
      <c r="D39" s="42">
        <f>(D25+D26+D27+D31)/(D25+D26+D27)</f>
        <v>1.4862478940269954</v>
      </c>
      <c r="E39" s="42">
        <f>(E25+E26+E27+E31)/(E25+E26+E27)</f>
        <v>1.6358317522194179</v>
      </c>
      <c r="F39" s="42">
        <f>Engine!$B$41</f>
        <v>1.4890585568654191</v>
      </c>
      <c r="G39" s="42">
        <f>(G25+G26+G27+G31)/(G25+G26+G27)</f>
        <v>1.645157660450776</v>
      </c>
    </row>
    <row r="40" spans="1:7" x14ac:dyDescent="0.25">
      <c r="A40" s="225" t="s">
        <v>348</v>
      </c>
      <c r="B40" s="111"/>
      <c r="C40" s="43">
        <f>C39^(1/(Inputs!$C$35/12))-1</f>
        <v>0.11986992985160949</v>
      </c>
      <c r="D40" s="43">
        <f>D39^(1/(Inputs!$C$35/12))-1</f>
        <v>0.17175415151725359</v>
      </c>
      <c r="E40" s="43">
        <f>E39^(1/(Inputs!$C$35/12))-1</f>
        <v>0.21757424639453293</v>
      </c>
      <c r="F40" s="43">
        <f>Engine!$B$40</f>
        <v>0.3225051920875448</v>
      </c>
      <c r="G40" s="43">
        <f>G39^(1/(Inputs!$C$35/12))-1</f>
        <v>0.22034607766749259</v>
      </c>
    </row>
    <row r="41" spans="1:7" x14ac:dyDescent="0.25">
      <c r="A41" s="226" t="s">
        <v>349</v>
      </c>
      <c r="B41" s="111"/>
      <c r="C41" s="227"/>
      <c r="D41" s="227"/>
      <c r="E41" s="227"/>
      <c r="F41" s="227"/>
      <c r="G41" s="227"/>
    </row>
    <row r="42" spans="1:7" x14ac:dyDescent="0.25">
      <c r="A42" s="220" t="s">
        <v>199</v>
      </c>
      <c r="B42" s="220"/>
      <c r="C42" s="220"/>
      <c r="D42" s="220"/>
      <c r="E42" s="220"/>
      <c r="F42" s="220"/>
      <c r="G42" s="220"/>
    </row>
    <row r="43" spans="1:7" x14ac:dyDescent="0.25">
      <c r="A43" s="92"/>
      <c r="B43" s="92"/>
      <c r="C43" s="92"/>
      <c r="D43" s="92"/>
      <c r="E43" s="92"/>
      <c r="F43" s="92"/>
      <c r="G43" s="92"/>
    </row>
    <row r="44" spans="1:7" ht="27.75" customHeight="1" x14ac:dyDescent="0.25">
      <c r="A44" s="228" t="s">
        <v>200</v>
      </c>
      <c r="B44" s="228"/>
      <c r="C44" s="228"/>
      <c r="D44" s="228"/>
      <c r="E44" s="228"/>
      <c r="F44" s="228"/>
      <c r="G44" s="228"/>
    </row>
    <row r="45" spans="1:7" x14ac:dyDescent="0.25">
      <c r="A45" s="228"/>
      <c r="B45" s="228"/>
      <c r="C45" s="228"/>
      <c r="D45" s="228"/>
      <c r="E45" s="228"/>
      <c r="F45" s="228"/>
      <c r="G45" s="228"/>
    </row>
  </sheetData>
  <sheetProtection algorithmName="SHA-512" hashValue="yXAdF77inu0yTQ8+LpfRLRrOfeOVNpLrfOcP6WUnXGVeo3OD9GqbRmX1sZPVma9mKkCYUN/SQVujhN+w7u5w+Q==" saltValue="6QHT95xk2QKdgM0enDXHJw==" spinCount="100000" sheet="1" objects="1" scenarios="1"/>
  <mergeCells count="9">
    <mergeCell ref="A24:G24"/>
    <mergeCell ref="A30:G30"/>
    <mergeCell ref="A42:G42"/>
    <mergeCell ref="A44:G45"/>
    <mergeCell ref="A1:G1"/>
    <mergeCell ref="A2:G2"/>
    <mergeCell ref="A4:G4"/>
    <mergeCell ref="A13:G13"/>
    <mergeCell ref="A19:G19"/>
  </mergeCells>
  <pageMargins left="0.75" right="0.75" top="1" bottom="1" header="0.511811023622047" footer="0.511811023622047"/>
  <pageSetup paperSize="9" orientation="portrait" horizontalDpi="300" verticalDpi="300"/>
  <headerFooter>
    <oddHeader>&amp;C&amp;"Aptos"&amp;10&amp;K008000 This Email / Document has been classified as Public by Olu Oke&amp;1#_x000D_</oddHeader>
    <oddFooter>&amp;C_x000D_&amp;1#&amp;"Aptos"&amp;10&amp;K000000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23B3B"/>
  </sheetPr>
  <dimension ref="A1:AF53"/>
  <sheetViews>
    <sheetView showGridLines="0" zoomScaleNormal="100" workbookViewId="0">
      <selection sqref="A1:AF1"/>
    </sheetView>
  </sheetViews>
  <sheetFormatPr defaultColWidth="8.7109375" defaultRowHeight="15" x14ac:dyDescent="0.25"/>
  <cols>
    <col min="1" max="1" width="34" customWidth="1"/>
    <col min="2" max="2" width="16" customWidth="1"/>
    <col min="3" max="32" width="9" customWidth="1"/>
  </cols>
  <sheetData>
    <row r="1" spans="1:32" ht="25.5" customHeight="1" x14ac:dyDescent="0.25">
      <c r="A1" s="169" t="s">
        <v>236</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row>
    <row r="2" spans="1:32" ht="30" customHeight="1" x14ac:dyDescent="0.25">
      <c r="A2" s="170" t="str">
        <f>"Cash uses are funded by senior debt to its cap, then by cash equity. Senior interest accrues on the opening balance, so there is no circular reference. Land is contributed as equity, not cash; it enters in the waterfall.  All amounts in "&amp;Inputs!$C$80&amp;" ("&amp;Inputs!$C$79&amp;")."</f>
        <v>Cash uses are funded by senior debt to its cap, then by cash equity. Senior interest accrues on the opening balance, so there is no circular reference. Land is contributed as equity, not cash; it enters in the waterfall.  All amounts in NGN (₦).</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row>
    <row r="3" spans="1:32" x14ac:dyDescent="0.25">
      <c r="A3" s="171" t="s">
        <v>107</v>
      </c>
      <c r="B3" s="172" t="s">
        <v>108</v>
      </c>
      <c r="C3" s="16">
        <v>1</v>
      </c>
      <c r="D3" s="16">
        <v>2</v>
      </c>
      <c r="E3" s="16">
        <v>3</v>
      </c>
      <c r="F3" s="16">
        <v>4</v>
      </c>
      <c r="G3" s="16">
        <v>5</v>
      </c>
      <c r="H3" s="16">
        <v>6</v>
      </c>
      <c r="I3" s="16">
        <v>7</v>
      </c>
      <c r="J3" s="16">
        <v>8</v>
      </c>
      <c r="K3" s="16">
        <v>9</v>
      </c>
      <c r="L3" s="16">
        <v>10</v>
      </c>
      <c r="M3" s="16">
        <v>11</v>
      </c>
      <c r="N3" s="16">
        <v>12</v>
      </c>
      <c r="O3" s="16">
        <v>13</v>
      </c>
      <c r="P3" s="16">
        <v>14</v>
      </c>
      <c r="Q3" s="16">
        <v>15</v>
      </c>
      <c r="R3" s="16">
        <v>16</v>
      </c>
      <c r="S3" s="16">
        <v>17</v>
      </c>
      <c r="T3" s="16">
        <v>18</v>
      </c>
      <c r="U3" s="16">
        <v>19</v>
      </c>
      <c r="V3" s="16">
        <v>20</v>
      </c>
      <c r="W3" s="16">
        <v>21</v>
      </c>
      <c r="X3" s="16">
        <v>22</v>
      </c>
      <c r="Y3" s="16">
        <v>23</v>
      </c>
      <c r="Z3" s="16">
        <v>24</v>
      </c>
      <c r="AA3" s="16">
        <v>25</v>
      </c>
      <c r="AB3" s="16">
        <v>26</v>
      </c>
      <c r="AC3" s="16">
        <v>27</v>
      </c>
      <c r="AD3" s="16">
        <v>28</v>
      </c>
      <c r="AE3" s="16">
        <v>29</v>
      </c>
      <c r="AF3" s="16">
        <v>30</v>
      </c>
    </row>
    <row r="4" spans="1:32" x14ac:dyDescent="0.25">
      <c r="A4" s="92"/>
      <c r="B4" s="92"/>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row>
    <row r="5" spans="1:32" x14ac:dyDescent="0.25">
      <c r="A5" s="173" t="s">
        <v>109</v>
      </c>
      <c r="B5" s="174">
        <f>SUM(C5:AF5)</f>
        <v>2368690.9999999991</v>
      </c>
      <c r="C5" s="175">
        <f>IF(C3&lt;=(Inputs!$C$33-1),(Inputs!$C$29+0.3*Inputs!$C$27)/(Inputs!$C$33-1),0)+IF(AND(C3&gt;=Inputs!$C$33,C3&lt;=Inputs!$C$34),(Inputs!$C$97+0.7*Inputs!$C$27+Inputs!$C$28+Inputs!$C$50)*IF(Inputs!$C$92="S-curve",(3*((C3-Inputs!$C$33+1)/(Inputs!$C$34-Inputs!$C$33+1))^2-2*((C3-Inputs!$C$33+1)/(Inputs!$C$34-Inputs!$C$33+1))^3)-(3*((C3-Inputs!$C$33)/(Inputs!$C$34-Inputs!$C$33+1))^2-2*((C3-Inputs!$C$33)/(Inputs!$C$34-Inputs!$C$33+1))^3),1/(Inputs!$C$34-Inputs!$C$33+1)),0)+IF(AND(C3=1,Inputs!$C$18=1),Inputs!$C$30+Inputs!$C$31,0)</f>
        <v>12390.849999999999</v>
      </c>
      <c r="D5" s="175">
        <f>IF(D3&lt;=(Inputs!$C$33-1),(Inputs!$C$29+0.3*Inputs!$C$27)/(Inputs!$C$33-1),0)+IF(AND(D3&gt;=Inputs!$C$33,D3&lt;=Inputs!$C$34),(Inputs!$C$97+0.7*Inputs!$C$27+Inputs!$C$28+Inputs!$C$50)*IF(Inputs!$C$92="S-curve",(3*((D3-Inputs!$C$33+1)/(Inputs!$C$34-Inputs!$C$33+1))^2-2*((D3-Inputs!$C$33+1)/(Inputs!$C$34-Inputs!$C$33+1))^3)-(3*((D3-Inputs!$C$33)/(Inputs!$C$34-Inputs!$C$33+1))^2-2*((D3-Inputs!$C$33)/(Inputs!$C$34-Inputs!$C$33+1))^3),1/(Inputs!$C$34-Inputs!$C$33+1)),0)+IF(AND(D3=1,Inputs!$C$18=1),Inputs!$C$30+Inputs!$C$31,0)</f>
        <v>12390.849999999999</v>
      </c>
      <c r="E5" s="175">
        <f>IF(E3&lt;=(Inputs!$C$33-1),(Inputs!$C$29+0.3*Inputs!$C$27)/(Inputs!$C$33-1),0)+IF(AND(E3&gt;=Inputs!$C$33,E3&lt;=Inputs!$C$34),(Inputs!$C$97+0.7*Inputs!$C$27+Inputs!$C$28+Inputs!$C$50)*IF(Inputs!$C$92="S-curve",(3*((E3-Inputs!$C$33+1)/(Inputs!$C$34-Inputs!$C$33+1))^2-2*((E3-Inputs!$C$33+1)/(Inputs!$C$34-Inputs!$C$33+1))^3)-(3*((E3-Inputs!$C$33)/(Inputs!$C$34-Inputs!$C$33+1))^2-2*((E3-Inputs!$C$33)/(Inputs!$C$34-Inputs!$C$33+1))^3),1/(Inputs!$C$34-Inputs!$C$33+1)),0)+IF(AND(E3=1,Inputs!$C$18=1),Inputs!$C$30+Inputs!$C$31,0)</f>
        <v>12390.849999999999</v>
      </c>
      <c r="F5" s="175">
        <f>IF(F3&lt;=(Inputs!$C$33-1),(Inputs!$C$29+0.3*Inputs!$C$27)/(Inputs!$C$33-1),0)+IF(AND(F3&gt;=Inputs!$C$33,F3&lt;=Inputs!$C$34),(Inputs!$C$97+0.7*Inputs!$C$27+Inputs!$C$28+Inputs!$C$50)*IF(Inputs!$C$92="S-curve",(3*((F3-Inputs!$C$33+1)/(Inputs!$C$34-Inputs!$C$33+1))^2-2*((F3-Inputs!$C$33+1)/(Inputs!$C$34-Inputs!$C$33+1))^3)-(3*((F3-Inputs!$C$33)/(Inputs!$C$34-Inputs!$C$33+1))^2-2*((F3-Inputs!$C$33)/(Inputs!$C$34-Inputs!$C$33+1))^3),1/(Inputs!$C$34-Inputs!$C$33+1)),0)+IF(AND(F3=1,Inputs!$C$18=1),Inputs!$C$30+Inputs!$C$31,0)</f>
        <v>12390.849999999999</v>
      </c>
      <c r="G5" s="175">
        <f>IF(G3&lt;=(Inputs!$C$33-1),(Inputs!$C$29+0.3*Inputs!$C$27)/(Inputs!$C$33-1),0)+IF(AND(G3&gt;=Inputs!$C$33,G3&lt;=Inputs!$C$34),(Inputs!$C$97+0.7*Inputs!$C$27+Inputs!$C$28+Inputs!$C$50)*IF(Inputs!$C$92="S-curve",(3*((G3-Inputs!$C$33+1)/(Inputs!$C$34-Inputs!$C$33+1))^2-2*((G3-Inputs!$C$33+1)/(Inputs!$C$34-Inputs!$C$33+1))^3)-(3*((G3-Inputs!$C$33)/(Inputs!$C$34-Inputs!$C$33+1))^2-2*((G3-Inputs!$C$33)/(Inputs!$C$34-Inputs!$C$33+1))^3),1/(Inputs!$C$34-Inputs!$C$33+1)),0)+IF(AND(G3=1,Inputs!$C$18=1),Inputs!$C$30+Inputs!$C$31,0)</f>
        <v>12390.849999999999</v>
      </c>
      <c r="H5" s="175">
        <f>IF(H3&lt;=(Inputs!$C$33-1),(Inputs!$C$29+0.3*Inputs!$C$27)/(Inputs!$C$33-1),0)+IF(AND(H3&gt;=Inputs!$C$33,H3&lt;=Inputs!$C$34),(Inputs!$C$97+0.7*Inputs!$C$27+Inputs!$C$28+Inputs!$C$50)*IF(Inputs!$C$92="S-curve",(3*((H3-Inputs!$C$33+1)/(Inputs!$C$34-Inputs!$C$33+1))^2-2*((H3-Inputs!$C$33+1)/(Inputs!$C$34-Inputs!$C$33+1))^3)-(3*((H3-Inputs!$C$33)/(Inputs!$C$34-Inputs!$C$33+1))^2-2*((H3-Inputs!$C$33)/(Inputs!$C$34-Inputs!$C$33+1))^3),1/(Inputs!$C$34-Inputs!$C$33+1)),0)+IF(AND(H3=1,Inputs!$C$18=1),Inputs!$C$30+Inputs!$C$31,0)</f>
        <v>12390.849999999999</v>
      </c>
      <c r="I5" s="175">
        <f>IF(I3&lt;=(Inputs!$C$33-1),(Inputs!$C$29+0.3*Inputs!$C$27)/(Inputs!$C$33-1),0)+IF(AND(I3&gt;=Inputs!$C$33,I3&lt;=Inputs!$C$34),(Inputs!$C$97+0.7*Inputs!$C$27+Inputs!$C$28+Inputs!$C$50)*IF(Inputs!$C$92="S-curve",(3*((I3-Inputs!$C$33+1)/(Inputs!$C$34-Inputs!$C$33+1))^2-2*((I3-Inputs!$C$33+1)/(Inputs!$C$34-Inputs!$C$33+1))^3)-(3*((I3-Inputs!$C$33)/(Inputs!$C$34-Inputs!$C$33+1))^2-2*((I3-Inputs!$C$33)/(Inputs!$C$34-Inputs!$C$33+1))^3),1/(Inputs!$C$34-Inputs!$C$33+1)),0)+IF(AND(I3=1,Inputs!$C$18=1),Inputs!$C$30+Inputs!$C$31,0)</f>
        <v>109254.56666666665</v>
      </c>
      <c r="J5" s="175">
        <f>IF(J3&lt;=(Inputs!$C$33-1),(Inputs!$C$29+0.3*Inputs!$C$27)/(Inputs!$C$33-1),0)+IF(AND(J3&gt;=Inputs!$C$33,J3&lt;=Inputs!$C$34),(Inputs!$C$97+0.7*Inputs!$C$27+Inputs!$C$28+Inputs!$C$50)*IF(Inputs!$C$92="S-curve",(3*((J3-Inputs!$C$33+1)/(Inputs!$C$34-Inputs!$C$33+1))^2-2*((J3-Inputs!$C$33+1)/(Inputs!$C$34-Inputs!$C$33+1))^3)-(3*((J3-Inputs!$C$33)/(Inputs!$C$34-Inputs!$C$33+1))^2-2*((J3-Inputs!$C$33)/(Inputs!$C$34-Inputs!$C$33+1))^3),1/(Inputs!$C$34-Inputs!$C$33+1)),0)+IF(AND(J3=1,Inputs!$C$18=1),Inputs!$C$30+Inputs!$C$31,0)</f>
        <v>109254.56666666665</v>
      </c>
      <c r="K5" s="175">
        <f>IF(K3&lt;=(Inputs!$C$33-1),(Inputs!$C$29+0.3*Inputs!$C$27)/(Inputs!$C$33-1),0)+IF(AND(K3&gt;=Inputs!$C$33,K3&lt;=Inputs!$C$34),(Inputs!$C$97+0.7*Inputs!$C$27+Inputs!$C$28+Inputs!$C$50)*IF(Inputs!$C$92="S-curve",(3*((K3-Inputs!$C$33+1)/(Inputs!$C$34-Inputs!$C$33+1))^2-2*((K3-Inputs!$C$33+1)/(Inputs!$C$34-Inputs!$C$33+1))^3)-(3*((K3-Inputs!$C$33)/(Inputs!$C$34-Inputs!$C$33+1))^2-2*((K3-Inputs!$C$33)/(Inputs!$C$34-Inputs!$C$33+1))^3),1/(Inputs!$C$34-Inputs!$C$33+1)),0)+IF(AND(K3=1,Inputs!$C$18=1),Inputs!$C$30+Inputs!$C$31,0)</f>
        <v>109254.56666666665</v>
      </c>
      <c r="L5" s="175">
        <f>IF(L3&lt;=(Inputs!$C$33-1),(Inputs!$C$29+0.3*Inputs!$C$27)/(Inputs!$C$33-1),0)+IF(AND(L3&gt;=Inputs!$C$33,L3&lt;=Inputs!$C$34),(Inputs!$C$97+0.7*Inputs!$C$27+Inputs!$C$28+Inputs!$C$50)*IF(Inputs!$C$92="S-curve",(3*((L3-Inputs!$C$33+1)/(Inputs!$C$34-Inputs!$C$33+1))^2-2*((L3-Inputs!$C$33+1)/(Inputs!$C$34-Inputs!$C$33+1))^3)-(3*((L3-Inputs!$C$33)/(Inputs!$C$34-Inputs!$C$33+1))^2-2*((L3-Inputs!$C$33)/(Inputs!$C$34-Inputs!$C$33+1))^3),1/(Inputs!$C$34-Inputs!$C$33+1)),0)+IF(AND(L3=1,Inputs!$C$18=1),Inputs!$C$30+Inputs!$C$31,0)</f>
        <v>109254.56666666665</v>
      </c>
      <c r="M5" s="175">
        <f>IF(M3&lt;=(Inputs!$C$33-1),(Inputs!$C$29+0.3*Inputs!$C$27)/(Inputs!$C$33-1),0)+IF(AND(M3&gt;=Inputs!$C$33,M3&lt;=Inputs!$C$34),(Inputs!$C$97+0.7*Inputs!$C$27+Inputs!$C$28+Inputs!$C$50)*IF(Inputs!$C$92="S-curve",(3*((M3-Inputs!$C$33+1)/(Inputs!$C$34-Inputs!$C$33+1))^2-2*((M3-Inputs!$C$33+1)/(Inputs!$C$34-Inputs!$C$33+1))^3)-(3*((M3-Inputs!$C$33)/(Inputs!$C$34-Inputs!$C$33+1))^2-2*((M3-Inputs!$C$33)/(Inputs!$C$34-Inputs!$C$33+1))^3),1/(Inputs!$C$34-Inputs!$C$33+1)),0)+IF(AND(M3=1,Inputs!$C$18=1),Inputs!$C$30+Inputs!$C$31,0)</f>
        <v>109254.56666666665</v>
      </c>
      <c r="N5" s="175">
        <f>IF(N3&lt;=(Inputs!$C$33-1),(Inputs!$C$29+0.3*Inputs!$C$27)/(Inputs!$C$33-1),0)+IF(AND(N3&gt;=Inputs!$C$33,N3&lt;=Inputs!$C$34),(Inputs!$C$97+0.7*Inputs!$C$27+Inputs!$C$28+Inputs!$C$50)*IF(Inputs!$C$92="S-curve",(3*((N3-Inputs!$C$33+1)/(Inputs!$C$34-Inputs!$C$33+1))^2-2*((N3-Inputs!$C$33+1)/(Inputs!$C$34-Inputs!$C$33+1))^3)-(3*((N3-Inputs!$C$33)/(Inputs!$C$34-Inputs!$C$33+1))^2-2*((N3-Inputs!$C$33)/(Inputs!$C$34-Inputs!$C$33+1))^3),1/(Inputs!$C$34-Inputs!$C$33+1)),0)+IF(AND(N3=1,Inputs!$C$18=1),Inputs!$C$30+Inputs!$C$31,0)</f>
        <v>109254.56666666665</v>
      </c>
      <c r="O5" s="175">
        <f>IF(O3&lt;=(Inputs!$C$33-1),(Inputs!$C$29+0.3*Inputs!$C$27)/(Inputs!$C$33-1),0)+IF(AND(O3&gt;=Inputs!$C$33,O3&lt;=Inputs!$C$34),(Inputs!$C$97+0.7*Inputs!$C$27+Inputs!$C$28+Inputs!$C$50)*IF(Inputs!$C$92="S-curve",(3*((O3-Inputs!$C$33+1)/(Inputs!$C$34-Inputs!$C$33+1))^2-2*((O3-Inputs!$C$33+1)/(Inputs!$C$34-Inputs!$C$33+1))^3)-(3*((O3-Inputs!$C$33)/(Inputs!$C$34-Inputs!$C$33+1))^2-2*((O3-Inputs!$C$33)/(Inputs!$C$34-Inputs!$C$33+1))^3),1/(Inputs!$C$34-Inputs!$C$33+1)),0)+IF(AND(O3=1,Inputs!$C$18=1),Inputs!$C$30+Inputs!$C$31,0)</f>
        <v>109254.56666666665</v>
      </c>
      <c r="P5" s="175">
        <f>IF(P3&lt;=(Inputs!$C$33-1),(Inputs!$C$29+0.3*Inputs!$C$27)/(Inputs!$C$33-1),0)+IF(AND(P3&gt;=Inputs!$C$33,P3&lt;=Inputs!$C$34),(Inputs!$C$97+0.7*Inputs!$C$27+Inputs!$C$28+Inputs!$C$50)*IF(Inputs!$C$92="S-curve",(3*((P3-Inputs!$C$33+1)/(Inputs!$C$34-Inputs!$C$33+1))^2-2*((P3-Inputs!$C$33+1)/(Inputs!$C$34-Inputs!$C$33+1))^3)-(3*((P3-Inputs!$C$33)/(Inputs!$C$34-Inputs!$C$33+1))^2-2*((P3-Inputs!$C$33)/(Inputs!$C$34-Inputs!$C$33+1))^3),1/(Inputs!$C$34-Inputs!$C$33+1)),0)+IF(AND(P3=1,Inputs!$C$18=1),Inputs!$C$30+Inputs!$C$31,0)</f>
        <v>109254.56666666665</v>
      </c>
      <c r="Q5" s="175">
        <f>IF(Q3&lt;=(Inputs!$C$33-1),(Inputs!$C$29+0.3*Inputs!$C$27)/(Inputs!$C$33-1),0)+IF(AND(Q3&gt;=Inputs!$C$33,Q3&lt;=Inputs!$C$34),(Inputs!$C$97+0.7*Inputs!$C$27+Inputs!$C$28+Inputs!$C$50)*IF(Inputs!$C$92="S-curve",(3*((Q3-Inputs!$C$33+1)/(Inputs!$C$34-Inputs!$C$33+1))^2-2*((Q3-Inputs!$C$33+1)/(Inputs!$C$34-Inputs!$C$33+1))^3)-(3*((Q3-Inputs!$C$33)/(Inputs!$C$34-Inputs!$C$33+1))^2-2*((Q3-Inputs!$C$33)/(Inputs!$C$34-Inputs!$C$33+1))^3),1/(Inputs!$C$34-Inputs!$C$33+1)),0)+IF(AND(Q3=1,Inputs!$C$18=1),Inputs!$C$30+Inputs!$C$31,0)</f>
        <v>109254.56666666665</v>
      </c>
      <c r="R5" s="175">
        <f>IF(R3&lt;=(Inputs!$C$33-1),(Inputs!$C$29+0.3*Inputs!$C$27)/(Inputs!$C$33-1),0)+IF(AND(R3&gt;=Inputs!$C$33,R3&lt;=Inputs!$C$34),(Inputs!$C$97+0.7*Inputs!$C$27+Inputs!$C$28+Inputs!$C$50)*IF(Inputs!$C$92="S-curve",(3*((R3-Inputs!$C$33+1)/(Inputs!$C$34-Inputs!$C$33+1))^2-2*((R3-Inputs!$C$33+1)/(Inputs!$C$34-Inputs!$C$33+1))^3)-(3*((R3-Inputs!$C$33)/(Inputs!$C$34-Inputs!$C$33+1))^2-2*((R3-Inputs!$C$33)/(Inputs!$C$34-Inputs!$C$33+1))^3),1/(Inputs!$C$34-Inputs!$C$33+1)),0)+IF(AND(R3=1,Inputs!$C$18=1),Inputs!$C$30+Inputs!$C$31,0)</f>
        <v>109254.56666666665</v>
      </c>
      <c r="S5" s="175">
        <f>IF(S3&lt;=(Inputs!$C$33-1),(Inputs!$C$29+0.3*Inputs!$C$27)/(Inputs!$C$33-1),0)+IF(AND(S3&gt;=Inputs!$C$33,S3&lt;=Inputs!$C$34),(Inputs!$C$97+0.7*Inputs!$C$27+Inputs!$C$28+Inputs!$C$50)*IF(Inputs!$C$92="S-curve",(3*((S3-Inputs!$C$33+1)/(Inputs!$C$34-Inputs!$C$33+1))^2-2*((S3-Inputs!$C$33+1)/(Inputs!$C$34-Inputs!$C$33+1))^3)-(3*((S3-Inputs!$C$33)/(Inputs!$C$34-Inputs!$C$33+1))^2-2*((S3-Inputs!$C$33)/(Inputs!$C$34-Inputs!$C$33+1))^3),1/(Inputs!$C$34-Inputs!$C$33+1)),0)+IF(AND(S3=1,Inputs!$C$18=1),Inputs!$C$30+Inputs!$C$31,0)</f>
        <v>109254.56666666665</v>
      </c>
      <c r="T5" s="175">
        <f>IF(T3&lt;=(Inputs!$C$33-1),(Inputs!$C$29+0.3*Inputs!$C$27)/(Inputs!$C$33-1),0)+IF(AND(T3&gt;=Inputs!$C$33,T3&lt;=Inputs!$C$34),(Inputs!$C$97+0.7*Inputs!$C$27+Inputs!$C$28+Inputs!$C$50)*IF(Inputs!$C$92="S-curve",(3*((T3-Inputs!$C$33+1)/(Inputs!$C$34-Inputs!$C$33+1))^2-2*((T3-Inputs!$C$33+1)/(Inputs!$C$34-Inputs!$C$33+1))^3)-(3*((T3-Inputs!$C$33)/(Inputs!$C$34-Inputs!$C$33+1))^2-2*((T3-Inputs!$C$33)/(Inputs!$C$34-Inputs!$C$33+1))^3),1/(Inputs!$C$34-Inputs!$C$33+1)),0)+IF(AND(T3=1,Inputs!$C$18=1),Inputs!$C$30+Inputs!$C$31,0)</f>
        <v>109254.56666666665</v>
      </c>
      <c r="U5" s="175">
        <f>IF(U3&lt;=(Inputs!$C$33-1),(Inputs!$C$29+0.3*Inputs!$C$27)/(Inputs!$C$33-1),0)+IF(AND(U3&gt;=Inputs!$C$33,U3&lt;=Inputs!$C$34),(Inputs!$C$97+0.7*Inputs!$C$27+Inputs!$C$28+Inputs!$C$50)*IF(Inputs!$C$92="S-curve",(3*((U3-Inputs!$C$33+1)/(Inputs!$C$34-Inputs!$C$33+1))^2-2*((U3-Inputs!$C$33+1)/(Inputs!$C$34-Inputs!$C$33+1))^3)-(3*((U3-Inputs!$C$33)/(Inputs!$C$34-Inputs!$C$33+1))^2-2*((U3-Inputs!$C$33)/(Inputs!$C$34-Inputs!$C$33+1))^3),1/(Inputs!$C$34-Inputs!$C$33+1)),0)+IF(AND(U3=1,Inputs!$C$18=1),Inputs!$C$30+Inputs!$C$31,0)</f>
        <v>109254.56666666665</v>
      </c>
      <c r="V5" s="175">
        <f>IF(V3&lt;=(Inputs!$C$33-1),(Inputs!$C$29+0.3*Inputs!$C$27)/(Inputs!$C$33-1),0)+IF(AND(V3&gt;=Inputs!$C$33,V3&lt;=Inputs!$C$34),(Inputs!$C$97+0.7*Inputs!$C$27+Inputs!$C$28+Inputs!$C$50)*IF(Inputs!$C$92="S-curve",(3*((V3-Inputs!$C$33+1)/(Inputs!$C$34-Inputs!$C$33+1))^2-2*((V3-Inputs!$C$33+1)/(Inputs!$C$34-Inputs!$C$33+1))^3)-(3*((V3-Inputs!$C$33)/(Inputs!$C$34-Inputs!$C$33+1))^2-2*((V3-Inputs!$C$33)/(Inputs!$C$34-Inputs!$C$33+1))^3),1/(Inputs!$C$34-Inputs!$C$33+1)),0)+IF(AND(V3=1,Inputs!$C$18=1),Inputs!$C$30+Inputs!$C$31,0)</f>
        <v>109254.56666666665</v>
      </c>
      <c r="W5" s="175">
        <f>IF(W3&lt;=(Inputs!$C$33-1),(Inputs!$C$29+0.3*Inputs!$C$27)/(Inputs!$C$33-1),0)+IF(AND(W3&gt;=Inputs!$C$33,W3&lt;=Inputs!$C$34),(Inputs!$C$97+0.7*Inputs!$C$27+Inputs!$C$28+Inputs!$C$50)*IF(Inputs!$C$92="S-curve",(3*((W3-Inputs!$C$33+1)/(Inputs!$C$34-Inputs!$C$33+1))^2-2*((W3-Inputs!$C$33+1)/(Inputs!$C$34-Inputs!$C$33+1))^3)-(3*((W3-Inputs!$C$33)/(Inputs!$C$34-Inputs!$C$33+1))^2-2*((W3-Inputs!$C$33)/(Inputs!$C$34-Inputs!$C$33+1))^3),1/(Inputs!$C$34-Inputs!$C$33+1)),0)+IF(AND(W3=1,Inputs!$C$18=1),Inputs!$C$30+Inputs!$C$31,0)</f>
        <v>109254.56666666665</v>
      </c>
      <c r="X5" s="175">
        <f>IF(X3&lt;=(Inputs!$C$33-1),(Inputs!$C$29+0.3*Inputs!$C$27)/(Inputs!$C$33-1),0)+IF(AND(X3&gt;=Inputs!$C$33,X3&lt;=Inputs!$C$34),(Inputs!$C$97+0.7*Inputs!$C$27+Inputs!$C$28+Inputs!$C$50)*IF(Inputs!$C$92="S-curve",(3*((X3-Inputs!$C$33+1)/(Inputs!$C$34-Inputs!$C$33+1))^2-2*((X3-Inputs!$C$33+1)/(Inputs!$C$34-Inputs!$C$33+1))^3)-(3*((X3-Inputs!$C$33)/(Inputs!$C$34-Inputs!$C$33+1))^2-2*((X3-Inputs!$C$33)/(Inputs!$C$34-Inputs!$C$33+1))^3),1/(Inputs!$C$34-Inputs!$C$33+1)),0)+IF(AND(X3=1,Inputs!$C$18=1),Inputs!$C$30+Inputs!$C$31,0)</f>
        <v>109254.56666666665</v>
      </c>
      <c r="Y5" s="175">
        <f>IF(Y3&lt;=(Inputs!$C$33-1),(Inputs!$C$29+0.3*Inputs!$C$27)/(Inputs!$C$33-1),0)+IF(AND(Y3&gt;=Inputs!$C$33,Y3&lt;=Inputs!$C$34),(Inputs!$C$97+0.7*Inputs!$C$27+Inputs!$C$28+Inputs!$C$50)*IF(Inputs!$C$92="S-curve",(3*((Y3-Inputs!$C$33+1)/(Inputs!$C$34-Inputs!$C$33+1))^2-2*((Y3-Inputs!$C$33+1)/(Inputs!$C$34-Inputs!$C$33+1))^3)-(3*((Y3-Inputs!$C$33)/(Inputs!$C$34-Inputs!$C$33+1))^2-2*((Y3-Inputs!$C$33)/(Inputs!$C$34-Inputs!$C$33+1))^3),1/(Inputs!$C$34-Inputs!$C$33+1)),0)+IF(AND(Y3=1,Inputs!$C$18=1),Inputs!$C$30+Inputs!$C$31,0)</f>
        <v>109254.56666666665</v>
      </c>
      <c r="Z5" s="175">
        <f>IF(Z3&lt;=(Inputs!$C$33-1),(Inputs!$C$29+0.3*Inputs!$C$27)/(Inputs!$C$33-1),0)+IF(AND(Z3&gt;=Inputs!$C$33,Z3&lt;=Inputs!$C$34),(Inputs!$C$97+0.7*Inputs!$C$27+Inputs!$C$28+Inputs!$C$50)*IF(Inputs!$C$92="S-curve",(3*((Z3-Inputs!$C$33+1)/(Inputs!$C$34-Inputs!$C$33+1))^2-2*((Z3-Inputs!$C$33+1)/(Inputs!$C$34-Inputs!$C$33+1))^3)-(3*((Z3-Inputs!$C$33)/(Inputs!$C$34-Inputs!$C$33+1))^2-2*((Z3-Inputs!$C$33)/(Inputs!$C$34-Inputs!$C$33+1))^3),1/(Inputs!$C$34-Inputs!$C$33+1)),0)+IF(AND(Z3=1,Inputs!$C$18=1),Inputs!$C$30+Inputs!$C$31,0)</f>
        <v>109254.56666666665</v>
      </c>
      <c r="AA5" s="175">
        <f>IF(AA3&lt;=(Inputs!$C$33-1),(Inputs!$C$29+0.3*Inputs!$C$27)/(Inputs!$C$33-1),0)+IF(AND(AA3&gt;=Inputs!$C$33,AA3&lt;=Inputs!$C$34),(Inputs!$C$97+0.7*Inputs!$C$27+Inputs!$C$28+Inputs!$C$50)*IF(Inputs!$C$92="S-curve",(3*((AA3-Inputs!$C$33+1)/(Inputs!$C$34-Inputs!$C$33+1))^2-2*((AA3-Inputs!$C$33+1)/(Inputs!$C$34-Inputs!$C$33+1))^3)-(3*((AA3-Inputs!$C$33)/(Inputs!$C$34-Inputs!$C$33+1))^2-2*((AA3-Inputs!$C$33)/(Inputs!$C$34-Inputs!$C$33+1))^3),1/(Inputs!$C$34-Inputs!$C$33+1)),0)+IF(AND(AA3=1,Inputs!$C$18=1),Inputs!$C$30+Inputs!$C$31,0)</f>
        <v>109254.56666666665</v>
      </c>
      <c r="AB5" s="175">
        <f>IF(AB3&lt;=(Inputs!$C$33-1),(Inputs!$C$29+0.3*Inputs!$C$27)/(Inputs!$C$33-1),0)+IF(AND(AB3&gt;=Inputs!$C$33,AB3&lt;=Inputs!$C$34),(Inputs!$C$97+0.7*Inputs!$C$27+Inputs!$C$28+Inputs!$C$50)*IF(Inputs!$C$92="S-curve",(3*((AB3-Inputs!$C$33+1)/(Inputs!$C$34-Inputs!$C$33+1))^2-2*((AB3-Inputs!$C$33+1)/(Inputs!$C$34-Inputs!$C$33+1))^3)-(3*((AB3-Inputs!$C$33)/(Inputs!$C$34-Inputs!$C$33+1))^2-2*((AB3-Inputs!$C$33)/(Inputs!$C$34-Inputs!$C$33+1))^3),1/(Inputs!$C$34-Inputs!$C$33+1)),0)+IF(AND(AB3=1,Inputs!$C$18=1),Inputs!$C$30+Inputs!$C$31,0)</f>
        <v>109254.56666666665</v>
      </c>
      <c r="AC5" s="175">
        <f>IF(AC3&lt;=(Inputs!$C$33-1),(Inputs!$C$29+0.3*Inputs!$C$27)/(Inputs!$C$33-1),0)+IF(AND(AC3&gt;=Inputs!$C$33,AC3&lt;=Inputs!$C$34),(Inputs!$C$97+0.7*Inputs!$C$27+Inputs!$C$28+Inputs!$C$50)*IF(Inputs!$C$92="S-curve",(3*((AC3-Inputs!$C$33+1)/(Inputs!$C$34-Inputs!$C$33+1))^2-2*((AC3-Inputs!$C$33+1)/(Inputs!$C$34-Inputs!$C$33+1))^3)-(3*((AC3-Inputs!$C$33)/(Inputs!$C$34-Inputs!$C$33+1))^2-2*((AC3-Inputs!$C$33)/(Inputs!$C$34-Inputs!$C$33+1))^3),1/(Inputs!$C$34-Inputs!$C$33+1)),0)+IF(AND(AC3=1,Inputs!$C$18=1),Inputs!$C$30+Inputs!$C$31,0)</f>
        <v>109254.56666666665</v>
      </c>
      <c r="AD5" s="175">
        <f>IF(AD3&lt;=(Inputs!$C$33-1),(Inputs!$C$29+0.3*Inputs!$C$27)/(Inputs!$C$33-1),0)+IF(AND(AD3&gt;=Inputs!$C$33,AD3&lt;=Inputs!$C$34),(Inputs!$C$97+0.7*Inputs!$C$27+Inputs!$C$28+Inputs!$C$50)*IF(Inputs!$C$92="S-curve",(3*((AD3-Inputs!$C$33+1)/(Inputs!$C$34-Inputs!$C$33+1))^2-2*((AD3-Inputs!$C$33+1)/(Inputs!$C$34-Inputs!$C$33+1))^3)-(3*((AD3-Inputs!$C$33)/(Inputs!$C$34-Inputs!$C$33+1))^2-2*((AD3-Inputs!$C$33)/(Inputs!$C$34-Inputs!$C$33+1))^3),1/(Inputs!$C$34-Inputs!$C$33+1)),0)+IF(AND(AD3=1,Inputs!$C$18=1),Inputs!$C$30+Inputs!$C$31,0)</f>
        <v>0</v>
      </c>
      <c r="AE5" s="175">
        <f>IF(AE3&lt;=(Inputs!$C$33-1),(Inputs!$C$29+0.3*Inputs!$C$27)/(Inputs!$C$33-1),0)+IF(AND(AE3&gt;=Inputs!$C$33,AE3&lt;=Inputs!$C$34),(Inputs!$C$97+0.7*Inputs!$C$27+Inputs!$C$28+Inputs!$C$50)*IF(Inputs!$C$92="S-curve",(3*((AE3-Inputs!$C$33+1)/(Inputs!$C$34-Inputs!$C$33+1))^2-2*((AE3-Inputs!$C$33+1)/(Inputs!$C$34-Inputs!$C$33+1))^3)-(3*((AE3-Inputs!$C$33)/(Inputs!$C$34-Inputs!$C$33+1))^2-2*((AE3-Inputs!$C$33)/(Inputs!$C$34-Inputs!$C$33+1))^3),1/(Inputs!$C$34-Inputs!$C$33+1)),0)+IF(AND(AE3=1,Inputs!$C$18=1),Inputs!$C$30+Inputs!$C$31,0)</f>
        <v>0</v>
      </c>
      <c r="AF5" s="175">
        <f>IF(AF3&lt;=(Inputs!$C$33-1),(Inputs!$C$29+0.3*Inputs!$C$27)/(Inputs!$C$33-1),0)+IF(AND(AF3&gt;=Inputs!$C$33,AF3&lt;=Inputs!$C$34),(Inputs!$C$97+0.7*Inputs!$C$27+Inputs!$C$28+Inputs!$C$50)*IF(Inputs!$C$92="S-curve",(3*((AF3-Inputs!$C$33+1)/(Inputs!$C$34-Inputs!$C$33+1))^2-2*((AF3-Inputs!$C$33+1)/(Inputs!$C$34-Inputs!$C$33+1))^3)-(3*((AF3-Inputs!$C$33)/(Inputs!$C$34-Inputs!$C$33+1))^2-2*((AF3-Inputs!$C$33)/(Inputs!$C$34-Inputs!$C$33+1))^3),1/(Inputs!$C$34-Inputs!$C$33+1)),0)+IF(AND(AF3=1,Inputs!$C$18=1),Inputs!$C$30+Inputs!$C$31,0)</f>
        <v>0</v>
      </c>
    </row>
    <row r="6" spans="1:32" x14ac:dyDescent="0.25">
      <c r="A6" s="176" t="s">
        <v>380</v>
      </c>
      <c r="B6" s="111"/>
      <c r="C6" s="177">
        <f>IF(Inputs!$C$63="Yes",1,0)*MIN(Inputs!$C$64*Inputs!$C$25*IF(AND(C3&gt;=Inputs!$C$33,C3&lt;=Inputs!$C$34),1/(Inputs!$C$34-Inputs!$C$33+1),0),C5)</f>
        <v>0</v>
      </c>
      <c r="D6" s="177">
        <f>IF(Inputs!$C$63="Yes",1,0)*MIN(Inputs!$C$64*Inputs!$C$25*IF(AND(D3&gt;=Inputs!$C$33,D3&lt;=Inputs!$C$34),1/(Inputs!$C$34-Inputs!$C$33+1),0),D5)</f>
        <v>0</v>
      </c>
      <c r="E6" s="177">
        <f>IF(Inputs!$C$63="Yes",1,0)*MIN(Inputs!$C$64*Inputs!$C$25*IF(AND(E3&gt;=Inputs!$C$33,E3&lt;=Inputs!$C$34),1/(Inputs!$C$34-Inputs!$C$33+1),0),E5)</f>
        <v>0</v>
      </c>
      <c r="F6" s="177">
        <f>IF(Inputs!$C$63="Yes",1,0)*MIN(Inputs!$C$64*Inputs!$C$25*IF(AND(F3&gt;=Inputs!$C$33,F3&lt;=Inputs!$C$34),1/(Inputs!$C$34-Inputs!$C$33+1),0),F5)</f>
        <v>0</v>
      </c>
      <c r="G6" s="177">
        <f>IF(Inputs!$C$63="Yes",1,0)*MIN(Inputs!$C$64*Inputs!$C$25*IF(AND(G3&gt;=Inputs!$C$33,G3&lt;=Inputs!$C$34),1/(Inputs!$C$34-Inputs!$C$33+1),0),G5)</f>
        <v>0</v>
      </c>
      <c r="H6" s="177">
        <f>IF(Inputs!$C$63="Yes",1,0)*MIN(Inputs!$C$64*Inputs!$C$25*IF(AND(H3&gt;=Inputs!$C$33,H3&lt;=Inputs!$C$34),1/(Inputs!$C$34-Inputs!$C$33+1),0),H5)</f>
        <v>0</v>
      </c>
      <c r="I6" s="177">
        <f>IF(Inputs!$C$63="Yes",1,0)*MIN(Inputs!$C$64*Inputs!$C$25*IF(AND(I3&gt;=Inputs!$C$33,I3&lt;=Inputs!$C$34),1/(Inputs!$C$34-Inputs!$C$33+1),0),I5)</f>
        <v>0</v>
      </c>
      <c r="J6" s="177">
        <f>IF(Inputs!$C$63="Yes",1,0)*MIN(Inputs!$C$64*Inputs!$C$25*IF(AND(J3&gt;=Inputs!$C$33,J3&lt;=Inputs!$C$34),1/(Inputs!$C$34-Inputs!$C$33+1),0),J5)</f>
        <v>0</v>
      </c>
      <c r="K6" s="177">
        <f>IF(Inputs!$C$63="Yes",1,0)*MIN(Inputs!$C$64*Inputs!$C$25*IF(AND(K3&gt;=Inputs!$C$33,K3&lt;=Inputs!$C$34),1/(Inputs!$C$34-Inputs!$C$33+1),0),K5)</f>
        <v>0</v>
      </c>
      <c r="L6" s="177">
        <f>IF(Inputs!$C$63="Yes",1,0)*MIN(Inputs!$C$64*Inputs!$C$25*IF(AND(L3&gt;=Inputs!$C$33,L3&lt;=Inputs!$C$34),1/(Inputs!$C$34-Inputs!$C$33+1),0),L5)</f>
        <v>0</v>
      </c>
      <c r="M6" s="177">
        <f>IF(Inputs!$C$63="Yes",1,0)*MIN(Inputs!$C$64*Inputs!$C$25*IF(AND(M3&gt;=Inputs!$C$33,M3&lt;=Inputs!$C$34),1/(Inputs!$C$34-Inputs!$C$33+1),0),M5)</f>
        <v>0</v>
      </c>
      <c r="N6" s="177">
        <f>IF(Inputs!$C$63="Yes",1,0)*MIN(Inputs!$C$64*Inputs!$C$25*IF(AND(N3&gt;=Inputs!$C$33,N3&lt;=Inputs!$C$34),1/(Inputs!$C$34-Inputs!$C$33+1),0),N5)</f>
        <v>0</v>
      </c>
      <c r="O6" s="177">
        <f>IF(Inputs!$C$63="Yes",1,0)*MIN(Inputs!$C$64*Inputs!$C$25*IF(AND(O3&gt;=Inputs!$C$33,O3&lt;=Inputs!$C$34),1/(Inputs!$C$34-Inputs!$C$33+1),0),O5)</f>
        <v>0</v>
      </c>
      <c r="P6" s="177">
        <f>IF(Inputs!$C$63="Yes",1,0)*MIN(Inputs!$C$64*Inputs!$C$25*IF(AND(P3&gt;=Inputs!$C$33,P3&lt;=Inputs!$C$34),1/(Inputs!$C$34-Inputs!$C$33+1),0),P5)</f>
        <v>0</v>
      </c>
      <c r="Q6" s="177">
        <f>IF(Inputs!$C$63="Yes",1,0)*MIN(Inputs!$C$64*Inputs!$C$25*IF(AND(Q3&gt;=Inputs!$C$33,Q3&lt;=Inputs!$C$34),1/(Inputs!$C$34-Inputs!$C$33+1),0),Q5)</f>
        <v>0</v>
      </c>
      <c r="R6" s="177">
        <f>IF(Inputs!$C$63="Yes",1,0)*MIN(Inputs!$C$64*Inputs!$C$25*IF(AND(R3&gt;=Inputs!$C$33,R3&lt;=Inputs!$C$34),1/(Inputs!$C$34-Inputs!$C$33+1),0),R5)</f>
        <v>0</v>
      </c>
      <c r="S6" s="177">
        <f>IF(Inputs!$C$63="Yes",1,0)*MIN(Inputs!$C$64*Inputs!$C$25*IF(AND(S3&gt;=Inputs!$C$33,S3&lt;=Inputs!$C$34),1/(Inputs!$C$34-Inputs!$C$33+1),0),S5)</f>
        <v>0</v>
      </c>
      <c r="T6" s="177">
        <f>IF(Inputs!$C$63="Yes",1,0)*MIN(Inputs!$C$64*Inputs!$C$25*IF(AND(T3&gt;=Inputs!$C$33,T3&lt;=Inputs!$C$34),1/(Inputs!$C$34-Inputs!$C$33+1),0),T5)</f>
        <v>0</v>
      </c>
      <c r="U6" s="177">
        <f>IF(Inputs!$C$63="Yes",1,0)*MIN(Inputs!$C$64*Inputs!$C$25*IF(AND(U3&gt;=Inputs!$C$33,U3&lt;=Inputs!$C$34),1/(Inputs!$C$34-Inputs!$C$33+1),0),U5)</f>
        <v>0</v>
      </c>
      <c r="V6" s="177">
        <f>IF(Inputs!$C$63="Yes",1,0)*MIN(Inputs!$C$64*Inputs!$C$25*IF(AND(V3&gt;=Inputs!$C$33,V3&lt;=Inputs!$C$34),1/(Inputs!$C$34-Inputs!$C$33+1),0),V5)</f>
        <v>0</v>
      </c>
      <c r="W6" s="177">
        <f>IF(Inputs!$C$63="Yes",1,0)*MIN(Inputs!$C$64*Inputs!$C$25*IF(AND(W3&gt;=Inputs!$C$33,W3&lt;=Inputs!$C$34),1/(Inputs!$C$34-Inputs!$C$33+1),0),W5)</f>
        <v>0</v>
      </c>
      <c r="X6" s="177">
        <f>IF(Inputs!$C$63="Yes",1,0)*MIN(Inputs!$C$64*Inputs!$C$25*IF(AND(X3&gt;=Inputs!$C$33,X3&lt;=Inputs!$C$34),1/(Inputs!$C$34-Inputs!$C$33+1),0),X5)</f>
        <v>0</v>
      </c>
      <c r="Y6" s="177">
        <f>IF(Inputs!$C$63="Yes",1,0)*MIN(Inputs!$C$64*Inputs!$C$25*IF(AND(Y3&gt;=Inputs!$C$33,Y3&lt;=Inputs!$C$34),1/(Inputs!$C$34-Inputs!$C$33+1),0),Y5)</f>
        <v>0</v>
      </c>
      <c r="Z6" s="177">
        <f>IF(Inputs!$C$63="Yes",1,0)*MIN(Inputs!$C$64*Inputs!$C$25*IF(AND(Z3&gt;=Inputs!$C$33,Z3&lt;=Inputs!$C$34),1/(Inputs!$C$34-Inputs!$C$33+1),0),Z5)</f>
        <v>0</v>
      </c>
      <c r="AA6" s="177">
        <f>IF(Inputs!$C$63="Yes",1,0)*MIN(Inputs!$C$64*Inputs!$C$25*IF(AND(AA3&gt;=Inputs!$C$33,AA3&lt;=Inputs!$C$34),1/(Inputs!$C$34-Inputs!$C$33+1),0),AA5)</f>
        <v>0</v>
      </c>
      <c r="AB6" s="177">
        <f>IF(Inputs!$C$63="Yes",1,0)*MIN(Inputs!$C$64*Inputs!$C$25*IF(AND(AB3&gt;=Inputs!$C$33,AB3&lt;=Inputs!$C$34),1/(Inputs!$C$34-Inputs!$C$33+1),0),AB5)</f>
        <v>0</v>
      </c>
      <c r="AC6" s="177">
        <f>IF(Inputs!$C$63="Yes",1,0)*MIN(Inputs!$C$64*Inputs!$C$25*IF(AND(AC3&gt;=Inputs!$C$33,AC3&lt;=Inputs!$C$34),1/(Inputs!$C$34-Inputs!$C$33+1),0),AC5)</f>
        <v>0</v>
      </c>
      <c r="AD6" s="177">
        <f>IF(Inputs!$C$63="Yes",1,0)*MIN(Inputs!$C$64*Inputs!$C$25*IF(AND(AD3&gt;=Inputs!$C$33,AD3&lt;=Inputs!$C$34),1/(Inputs!$C$34-Inputs!$C$33+1),0),AD5)</f>
        <v>0</v>
      </c>
      <c r="AE6" s="177">
        <f>IF(Inputs!$C$63="Yes",1,0)*MIN(Inputs!$C$64*Inputs!$C$25*IF(AND(AE3&gt;=Inputs!$C$33,AE3&lt;=Inputs!$C$34),1/(Inputs!$C$34-Inputs!$C$33+1),0),AE5)</f>
        <v>0</v>
      </c>
      <c r="AF6" s="177">
        <f>IF(Inputs!$C$63="Yes",1,0)*MIN(Inputs!$C$64*Inputs!$C$25*IF(AND(AF3&gt;=Inputs!$C$33,AF3&lt;=Inputs!$C$34),1/(Inputs!$C$34-Inputs!$C$33+1),0),AF5)</f>
        <v>0</v>
      </c>
    </row>
    <row r="7" spans="1:32" ht="19.5" customHeight="1" x14ac:dyDescent="0.25">
      <c r="A7" s="178" t="s">
        <v>110</v>
      </c>
      <c r="B7" s="178"/>
      <c r="C7" s="178"/>
      <c r="D7" s="178"/>
      <c r="E7" s="178"/>
      <c r="F7" s="178"/>
      <c r="G7" s="178"/>
      <c r="H7" s="178"/>
      <c r="I7" s="178"/>
      <c r="J7" s="178"/>
      <c r="K7" s="178"/>
      <c r="L7" s="178"/>
      <c r="M7" s="178"/>
      <c r="N7" s="178"/>
      <c r="O7" s="178"/>
      <c r="P7" s="178"/>
      <c r="Q7" s="178"/>
      <c r="R7" s="178"/>
      <c r="S7" s="178"/>
      <c r="T7" s="178"/>
      <c r="U7" s="178"/>
      <c r="V7" s="178"/>
      <c r="W7" s="178"/>
      <c r="X7" s="178"/>
      <c r="Y7" s="178"/>
      <c r="Z7" s="178"/>
      <c r="AA7" s="178"/>
      <c r="AB7" s="178"/>
      <c r="AC7" s="178"/>
      <c r="AD7" s="178"/>
      <c r="AE7" s="178"/>
      <c r="AF7" s="178"/>
    </row>
    <row r="8" spans="1:32" x14ac:dyDescent="0.25">
      <c r="A8" s="179" t="s">
        <v>40</v>
      </c>
      <c r="B8" s="180">
        <f>Inputs!$C$54</f>
        <v>1736214.5999999999</v>
      </c>
      <c r="C8" s="92"/>
      <c r="D8" s="92"/>
      <c r="E8" s="92"/>
      <c r="F8" s="92"/>
      <c r="G8" s="92"/>
      <c r="H8" s="92"/>
      <c r="I8" s="92"/>
      <c r="J8" s="92"/>
      <c r="K8" s="92"/>
      <c r="L8" s="92"/>
      <c r="M8" s="92"/>
      <c r="N8" s="92"/>
      <c r="O8" s="92"/>
      <c r="P8" s="92"/>
      <c r="Q8" s="92"/>
      <c r="R8" s="92"/>
      <c r="S8" s="92"/>
      <c r="T8" s="92"/>
      <c r="U8" s="92"/>
      <c r="V8" s="92"/>
      <c r="W8" s="92"/>
      <c r="X8" s="92"/>
      <c r="Y8" s="92"/>
      <c r="Z8" s="92"/>
      <c r="AA8" s="92"/>
      <c r="AB8" s="92"/>
      <c r="AC8" s="92"/>
      <c r="AD8" s="92"/>
      <c r="AE8" s="92"/>
      <c r="AF8" s="92"/>
    </row>
    <row r="9" spans="1:32" x14ac:dyDescent="0.25">
      <c r="A9" s="179" t="s">
        <v>111</v>
      </c>
      <c r="B9" s="17">
        <f>Inputs!$C$41/12</f>
        <v>7.4999999999999997E-3</v>
      </c>
      <c r="C9" s="92"/>
      <c r="D9" s="92"/>
      <c r="E9" s="92"/>
      <c r="F9" s="92"/>
      <c r="G9" s="92"/>
      <c r="H9" s="92"/>
      <c r="I9" s="92"/>
      <c r="J9" s="92"/>
      <c r="K9" s="92"/>
      <c r="L9" s="92"/>
      <c r="M9" s="92"/>
      <c r="N9" s="92"/>
      <c r="O9" s="92"/>
      <c r="P9" s="92"/>
      <c r="Q9" s="92"/>
      <c r="R9" s="92"/>
      <c r="S9" s="92"/>
      <c r="T9" s="92"/>
      <c r="U9" s="92"/>
      <c r="V9" s="92"/>
      <c r="W9" s="92"/>
      <c r="X9" s="92"/>
      <c r="Y9" s="92"/>
      <c r="Z9" s="92"/>
      <c r="AA9" s="92"/>
      <c r="AB9" s="92"/>
      <c r="AC9" s="92"/>
      <c r="AD9" s="92"/>
      <c r="AE9" s="92"/>
      <c r="AF9" s="92"/>
    </row>
    <row r="10" spans="1:32" x14ac:dyDescent="0.25">
      <c r="A10" s="181" t="s">
        <v>112</v>
      </c>
      <c r="B10" s="92"/>
      <c r="C10" s="175">
        <f>0</f>
        <v>0</v>
      </c>
      <c r="D10" s="175">
        <f t="shared" ref="D10:AF10" si="0">C13</f>
        <v>12390.849999999999</v>
      </c>
      <c r="E10" s="175">
        <f t="shared" si="0"/>
        <v>24874.631374999997</v>
      </c>
      <c r="F10" s="175">
        <f t="shared" si="0"/>
        <v>37452.041110312493</v>
      </c>
      <c r="G10" s="175">
        <f t="shared" si="0"/>
        <v>50123.781418639839</v>
      </c>
      <c r="H10" s="175">
        <f t="shared" si="0"/>
        <v>62890.55977927964</v>
      </c>
      <c r="I10" s="175">
        <f t="shared" si="0"/>
        <v>75753.088977624226</v>
      </c>
      <c r="J10" s="175">
        <f t="shared" si="0"/>
        <v>185575.80381162307</v>
      </c>
      <c r="K10" s="175">
        <f t="shared" si="0"/>
        <v>296222.1890068769</v>
      </c>
      <c r="L10" s="175">
        <f t="shared" si="0"/>
        <v>407698.42209109513</v>
      </c>
      <c r="M10" s="175">
        <f t="shared" si="0"/>
        <v>520010.72692344501</v>
      </c>
      <c r="N10" s="175">
        <f t="shared" si="0"/>
        <v>633165.37404203741</v>
      </c>
      <c r="O10" s="175">
        <f t="shared" si="0"/>
        <v>747168.6810140193</v>
      </c>
      <c r="P10" s="175">
        <f t="shared" si="0"/>
        <v>862027.01278829109</v>
      </c>
      <c r="Q10" s="175">
        <f t="shared" si="0"/>
        <v>977746.78205086989</v>
      </c>
      <c r="R10" s="175">
        <f t="shared" si="0"/>
        <v>1094334.4495829181</v>
      </c>
      <c r="S10" s="175">
        <f t="shared" si="0"/>
        <v>1211796.5246214566</v>
      </c>
      <c r="T10" s="175">
        <f t="shared" si="0"/>
        <v>1330139.5652227842</v>
      </c>
      <c r="U10" s="175">
        <f t="shared" si="0"/>
        <v>1449370.1786286216</v>
      </c>
      <c r="V10" s="175">
        <f t="shared" si="0"/>
        <v>1569495.0216350029</v>
      </c>
      <c r="W10" s="175">
        <f t="shared" si="0"/>
        <v>1690520.8009639322</v>
      </c>
      <c r="X10" s="175">
        <f t="shared" si="0"/>
        <v>1736214.5999999999</v>
      </c>
      <c r="Y10" s="175">
        <f t="shared" si="0"/>
        <v>1749236.2094999999</v>
      </c>
      <c r="Z10" s="175">
        <f t="shared" si="0"/>
        <v>1762355.4810712498</v>
      </c>
      <c r="AA10" s="175">
        <f t="shared" si="0"/>
        <v>1775573.1471792841</v>
      </c>
      <c r="AB10" s="175">
        <f t="shared" si="0"/>
        <v>1788889.9457831287</v>
      </c>
      <c r="AC10" s="175">
        <f t="shared" si="0"/>
        <v>1802306.6203765022</v>
      </c>
      <c r="AD10" s="175">
        <f t="shared" si="0"/>
        <v>1815823.9200293259</v>
      </c>
      <c r="AE10" s="175">
        <f t="shared" si="0"/>
        <v>1829442.5994295459</v>
      </c>
      <c r="AF10" s="175">
        <f t="shared" si="0"/>
        <v>1843163.4189252674</v>
      </c>
    </row>
    <row r="11" spans="1:32" x14ac:dyDescent="0.25">
      <c r="A11" s="181" t="s">
        <v>113</v>
      </c>
      <c r="B11" s="182">
        <f>SUM(C11:AF11)</f>
        <v>220063.21820503598</v>
      </c>
      <c r="C11" s="175">
        <f>IF(Inputs!$C$89="Average balance",(C10+0.5*C12)*$B$9,C10*$B$9)</f>
        <v>0</v>
      </c>
      <c r="D11" s="175">
        <f>IF(Inputs!$C$89="Average balance",(D10+0.5*D12)*$B$9,D10*$B$9)</f>
        <v>92.931374999999989</v>
      </c>
      <c r="E11" s="175">
        <f>IF(Inputs!$C$89="Average balance",(E10+0.5*E12)*$B$9,E10*$B$9)</f>
        <v>186.55973531249998</v>
      </c>
      <c r="F11" s="175">
        <f>IF(Inputs!$C$89="Average balance",(F10+0.5*F12)*$B$9,F10*$B$9)</f>
        <v>280.89030832734369</v>
      </c>
      <c r="G11" s="175">
        <f>IF(Inputs!$C$89="Average balance",(G10+0.5*G12)*$B$9,G10*$B$9)</f>
        <v>375.92836063979877</v>
      </c>
      <c r="H11" s="175">
        <f>IF(Inputs!$C$89="Average balance",(H10+0.5*H12)*$B$9,H10*$B$9)</f>
        <v>471.6791983445973</v>
      </c>
      <c r="I11" s="175">
        <f>IF(Inputs!$C$89="Average balance",(I10+0.5*I12)*$B$9,I10*$B$9)</f>
        <v>568.14816733218163</v>
      </c>
      <c r="J11" s="175">
        <f>IF(Inputs!$C$89="Average balance",(J10+0.5*J12)*$B$9,J10*$B$9)</f>
        <v>1391.818528587173</v>
      </c>
      <c r="K11" s="175">
        <f>IF(Inputs!$C$89="Average balance",(K10+0.5*K12)*$B$9,K10*$B$9)</f>
        <v>2221.6664175515766</v>
      </c>
      <c r="L11" s="175">
        <f>IF(Inputs!$C$89="Average balance",(L10+0.5*L12)*$B$9,L10*$B$9)</f>
        <v>3057.7381656832135</v>
      </c>
      <c r="M11" s="175">
        <f>IF(Inputs!$C$89="Average balance",(M10+0.5*M12)*$B$9,M10*$B$9)</f>
        <v>3900.0804519258372</v>
      </c>
      <c r="N11" s="175">
        <f>IF(Inputs!$C$89="Average balance",(N10+0.5*N12)*$B$9,N10*$B$9)</f>
        <v>4748.7403053152802</v>
      </c>
      <c r="O11" s="175">
        <f>IF(Inputs!$C$89="Average balance",(O10+0.5*O12)*$B$9,O10*$B$9)</f>
        <v>5603.7651076051443</v>
      </c>
      <c r="P11" s="175">
        <f>IF(Inputs!$C$89="Average balance",(P10+0.5*P12)*$B$9,P10*$B$9)</f>
        <v>6465.2025959121829</v>
      </c>
      <c r="Q11" s="175">
        <f>IF(Inputs!$C$89="Average balance",(Q10+0.5*Q12)*$B$9,Q10*$B$9)</f>
        <v>7333.1008653815243</v>
      </c>
      <c r="R11" s="175">
        <f>IF(Inputs!$C$89="Average balance",(R10+0.5*R12)*$B$9,R10*$B$9)</f>
        <v>8207.5083718718852</v>
      </c>
      <c r="S11" s="175">
        <f>IF(Inputs!$C$89="Average balance",(S10+0.5*S12)*$B$9,S10*$B$9)</f>
        <v>9088.473934660924</v>
      </c>
      <c r="T11" s="175">
        <f>IF(Inputs!$C$89="Average balance",(T10+0.5*T12)*$B$9,T10*$B$9)</f>
        <v>9976.0467391708808</v>
      </c>
      <c r="U11" s="175">
        <f>IF(Inputs!$C$89="Average balance",(U10+0.5*U12)*$B$9,U10*$B$9)</f>
        <v>10870.276339714661</v>
      </c>
      <c r="V11" s="175">
        <f>IF(Inputs!$C$89="Average balance",(V10+0.5*V12)*$B$9,V10*$B$9)</f>
        <v>11771.212662262522</v>
      </c>
      <c r="W11" s="175">
        <f>IF(Inputs!$C$89="Average balance",(W10+0.5*W12)*$B$9,W10*$B$9)</f>
        <v>12678.906007229491</v>
      </c>
      <c r="X11" s="175">
        <f>IF(Inputs!$C$89="Average balance",(X10+0.5*X12)*$B$9,X10*$B$9)</f>
        <v>13021.609499999999</v>
      </c>
      <c r="Y11" s="175">
        <f>IF(Inputs!$C$89="Average balance",(Y10+0.5*Y12)*$B$9,Y10*$B$9)</f>
        <v>13119.271571249999</v>
      </c>
      <c r="Z11" s="175">
        <f>IF(Inputs!$C$89="Average balance",(Z10+0.5*Z12)*$B$9,Z10*$B$9)</f>
        <v>13217.666108034373</v>
      </c>
      <c r="AA11" s="175">
        <f>IF(Inputs!$C$89="Average balance",(AA10+0.5*AA12)*$B$9,AA10*$B$9)</f>
        <v>13316.798603844631</v>
      </c>
      <c r="AB11" s="175">
        <f>IF(Inputs!$C$89="Average balance",(AB10+0.5*AB12)*$B$9,AB10*$B$9)</f>
        <v>13416.674593373466</v>
      </c>
      <c r="AC11" s="175">
        <f>IF(Inputs!$C$89="Average balance",(AC10+0.5*AC12)*$B$9,AC10*$B$9)</f>
        <v>13517.299652823765</v>
      </c>
      <c r="AD11" s="175">
        <f>IF(Inputs!$C$89="Average balance",(AD10+0.5*AD12)*$B$9,AD10*$B$9)</f>
        <v>13618.679400219944</v>
      </c>
      <c r="AE11" s="175">
        <f>IF(Inputs!$C$89="Average balance",(AE10+0.5*AE12)*$B$9,AE10*$B$9)</f>
        <v>13720.819495721595</v>
      </c>
      <c r="AF11" s="175">
        <f>IF(Inputs!$C$89="Average balance",(AF10+0.5*AF12)*$B$9,AF10*$B$9)</f>
        <v>13823.725641939505</v>
      </c>
    </row>
    <row r="12" spans="1:32" x14ac:dyDescent="0.25">
      <c r="A12" s="181" t="s">
        <v>114</v>
      </c>
      <c r="B12" s="182">
        <f>SUM(C12:AF12)</f>
        <v>1636923.9263621711</v>
      </c>
      <c r="C12" s="175">
        <f>IF(AND(Inputs!$C$100="Equity first",C3&lt;Inputs!$C$33),0,MIN(MAX(0,C5-C6),MAX(0,$B$8-(C10+C10*$B$9))))</f>
        <v>12390.849999999999</v>
      </c>
      <c r="D12" s="175">
        <f>IF(AND(Inputs!$C$100="Equity first",D3&lt;Inputs!$C$33),0,MIN(MAX(0,D5-D6),MAX(0,$B$8-(D10+D10*$B$9))))</f>
        <v>12390.849999999999</v>
      </c>
      <c r="E12" s="175">
        <f>IF(AND(Inputs!$C$100="Equity first",E3&lt;Inputs!$C$33),0,MIN(MAX(0,E5-E6),MAX(0,$B$8-(E10+E10*$B$9))))</f>
        <v>12390.849999999999</v>
      </c>
      <c r="F12" s="175">
        <f>IF(AND(Inputs!$C$100="Equity first",F3&lt;Inputs!$C$33),0,MIN(MAX(0,F5-F6),MAX(0,$B$8-(F10+F10*$B$9))))</f>
        <v>12390.849999999999</v>
      </c>
      <c r="G12" s="175">
        <f>IF(AND(Inputs!$C$100="Equity first",G3&lt;Inputs!$C$33),0,MIN(MAX(0,G5-G6),MAX(0,$B$8-(G10+G10*$B$9))))</f>
        <v>12390.849999999999</v>
      </c>
      <c r="H12" s="175">
        <f>IF(AND(Inputs!$C$100="Equity first",H3&lt;Inputs!$C$33),0,MIN(MAX(0,H5-H6),MAX(0,$B$8-(H10+H10*$B$9))))</f>
        <v>12390.849999999999</v>
      </c>
      <c r="I12" s="175">
        <f>IF(AND(Inputs!$C$100="Equity first",I3&lt;Inputs!$C$33),0,MIN(MAX(0,I5-I6),MAX(0,$B$8-(I10+I10*$B$9))))</f>
        <v>109254.56666666665</v>
      </c>
      <c r="J12" s="175">
        <f>IF(AND(Inputs!$C$100="Equity first",J3&lt;Inputs!$C$33),0,MIN(MAX(0,J5-J6),MAX(0,$B$8-(J10+J10*$B$9))))</f>
        <v>109254.56666666665</v>
      </c>
      <c r="K12" s="175">
        <f>IF(AND(Inputs!$C$100="Equity first",K3&lt;Inputs!$C$33),0,MIN(MAX(0,K5-K6),MAX(0,$B$8-(K10+K10*$B$9))))</f>
        <v>109254.56666666665</v>
      </c>
      <c r="L12" s="175">
        <f>IF(AND(Inputs!$C$100="Equity first",L3&lt;Inputs!$C$33),0,MIN(MAX(0,L5-L6),MAX(0,$B$8-(L10+L10*$B$9))))</f>
        <v>109254.56666666665</v>
      </c>
      <c r="M12" s="175">
        <f>IF(AND(Inputs!$C$100="Equity first",M3&lt;Inputs!$C$33),0,MIN(MAX(0,M5-M6),MAX(0,$B$8-(M10+M10*$B$9))))</f>
        <v>109254.56666666665</v>
      </c>
      <c r="N12" s="175">
        <f>IF(AND(Inputs!$C$100="Equity first",N3&lt;Inputs!$C$33),0,MIN(MAX(0,N5-N6),MAX(0,$B$8-(N10+N10*$B$9))))</f>
        <v>109254.56666666665</v>
      </c>
      <c r="O12" s="175">
        <f>IF(AND(Inputs!$C$100="Equity first",O3&lt;Inputs!$C$33),0,MIN(MAX(0,O5-O6),MAX(0,$B$8-(O10+O10*$B$9))))</f>
        <v>109254.56666666665</v>
      </c>
      <c r="P12" s="175">
        <f>IF(AND(Inputs!$C$100="Equity first",P3&lt;Inputs!$C$33),0,MIN(MAX(0,P5-P6),MAX(0,$B$8-(P10+P10*$B$9))))</f>
        <v>109254.56666666665</v>
      </c>
      <c r="Q12" s="175">
        <f>IF(AND(Inputs!$C$100="Equity first",Q3&lt;Inputs!$C$33),0,MIN(MAX(0,Q5-Q6),MAX(0,$B$8-(Q10+Q10*$B$9))))</f>
        <v>109254.56666666665</v>
      </c>
      <c r="R12" s="175">
        <f>IF(AND(Inputs!$C$100="Equity first",R3&lt;Inputs!$C$33),0,MIN(MAX(0,R5-R6),MAX(0,$B$8-(R10+R10*$B$9))))</f>
        <v>109254.56666666665</v>
      </c>
      <c r="S12" s="175">
        <f>IF(AND(Inputs!$C$100="Equity first",S3&lt;Inputs!$C$33),0,MIN(MAX(0,S5-S6),MAX(0,$B$8-(S10+S10*$B$9))))</f>
        <v>109254.56666666665</v>
      </c>
      <c r="T12" s="175">
        <f>IF(AND(Inputs!$C$100="Equity first",T3&lt;Inputs!$C$33),0,MIN(MAX(0,T5-T6),MAX(0,$B$8-(T10+T10*$B$9))))</f>
        <v>109254.56666666665</v>
      </c>
      <c r="U12" s="175">
        <f>IF(AND(Inputs!$C$100="Equity first",U3&lt;Inputs!$C$33),0,MIN(MAX(0,U5-U6),MAX(0,$B$8-(U10+U10*$B$9))))</f>
        <v>109254.56666666665</v>
      </c>
      <c r="V12" s="175">
        <f>IF(AND(Inputs!$C$100="Equity first",V3&lt;Inputs!$C$33),0,MIN(MAX(0,V5-V6),MAX(0,$B$8-(V10+V10*$B$9))))</f>
        <v>109254.56666666665</v>
      </c>
      <c r="W12" s="175">
        <f>IF(AND(Inputs!$C$100="Equity first",W3&lt;Inputs!$C$33),0,MIN(MAX(0,W5-W6),MAX(0,$B$8-(W10+W10*$B$9))))</f>
        <v>33014.893028838094</v>
      </c>
      <c r="X12" s="175">
        <f>IF(AND(Inputs!$C$100="Equity first",X3&lt;Inputs!$C$33),0,MIN(MAX(0,X5-X6),MAX(0,$B$8-(X10+X10*$B$9))))</f>
        <v>0</v>
      </c>
      <c r="Y12" s="175">
        <f>IF(AND(Inputs!$C$100="Equity first",Y3&lt;Inputs!$C$33),0,MIN(MAX(0,Y5-Y6),MAX(0,$B$8-(Y10+Y10*$B$9))))</f>
        <v>0</v>
      </c>
      <c r="Z12" s="175">
        <f>IF(AND(Inputs!$C$100="Equity first",Z3&lt;Inputs!$C$33),0,MIN(MAX(0,Z5-Z6),MAX(0,$B$8-(Z10+Z10*$B$9))))</f>
        <v>0</v>
      </c>
      <c r="AA12" s="175">
        <f>IF(AND(Inputs!$C$100="Equity first",AA3&lt;Inputs!$C$33),0,MIN(MAX(0,AA5-AA6),MAX(0,$B$8-(AA10+AA10*$B$9))))</f>
        <v>0</v>
      </c>
      <c r="AB12" s="175">
        <f>IF(AND(Inputs!$C$100="Equity first",AB3&lt;Inputs!$C$33),0,MIN(MAX(0,AB5-AB6),MAX(0,$B$8-(AB10+AB10*$B$9))))</f>
        <v>0</v>
      </c>
      <c r="AC12" s="175">
        <f>IF(AND(Inputs!$C$100="Equity first",AC3&lt;Inputs!$C$33),0,MIN(MAX(0,AC5-AC6),MAX(0,$B$8-(AC10+AC10*$B$9))))</f>
        <v>0</v>
      </c>
      <c r="AD12" s="175">
        <f>IF(AND(Inputs!$C$100="Equity first",AD3&lt;Inputs!$C$33),0,MIN(MAX(0,AD5-AD6),MAX(0,$B$8-(AD10+AD10*$B$9))))</f>
        <v>0</v>
      </c>
      <c r="AE12" s="175">
        <f>IF(AND(Inputs!$C$100="Equity first",AE3&lt;Inputs!$C$33),0,MIN(MAX(0,AE5-AE6),MAX(0,$B$8-(AE10+AE10*$B$9))))</f>
        <v>0</v>
      </c>
      <c r="AF12" s="175">
        <f>IF(AND(Inputs!$C$100="Equity first",AF3&lt;Inputs!$C$33),0,MIN(MAX(0,AF5-AF6),MAX(0,$B$8-(AF10+AF10*$B$9))))</f>
        <v>0</v>
      </c>
    </row>
    <row r="13" spans="1:32" x14ac:dyDescent="0.25">
      <c r="A13" s="181" t="s">
        <v>115</v>
      </c>
      <c r="B13" s="92"/>
      <c r="C13" s="175">
        <f t="shared" ref="C13:AF13" si="1">C10+C11+C12</f>
        <v>12390.849999999999</v>
      </c>
      <c r="D13" s="175">
        <f t="shared" si="1"/>
        <v>24874.631374999997</v>
      </c>
      <c r="E13" s="175">
        <f t="shared" si="1"/>
        <v>37452.041110312493</v>
      </c>
      <c r="F13" s="175">
        <f t="shared" si="1"/>
        <v>50123.781418639839</v>
      </c>
      <c r="G13" s="175">
        <f t="shared" si="1"/>
        <v>62890.55977927964</v>
      </c>
      <c r="H13" s="175">
        <f t="shared" si="1"/>
        <v>75753.088977624226</v>
      </c>
      <c r="I13" s="175">
        <f t="shared" si="1"/>
        <v>185575.80381162307</v>
      </c>
      <c r="J13" s="175">
        <f t="shared" si="1"/>
        <v>296222.1890068769</v>
      </c>
      <c r="K13" s="175">
        <f t="shared" si="1"/>
        <v>407698.42209109513</v>
      </c>
      <c r="L13" s="175">
        <f t="shared" si="1"/>
        <v>520010.72692344501</v>
      </c>
      <c r="M13" s="175">
        <f t="shared" si="1"/>
        <v>633165.37404203741</v>
      </c>
      <c r="N13" s="175">
        <f t="shared" si="1"/>
        <v>747168.6810140193</v>
      </c>
      <c r="O13" s="175">
        <f t="shared" si="1"/>
        <v>862027.01278829109</v>
      </c>
      <c r="P13" s="175">
        <f t="shared" si="1"/>
        <v>977746.78205086989</v>
      </c>
      <c r="Q13" s="175">
        <f t="shared" si="1"/>
        <v>1094334.4495829181</v>
      </c>
      <c r="R13" s="175">
        <f t="shared" si="1"/>
        <v>1211796.5246214566</v>
      </c>
      <c r="S13" s="175">
        <f t="shared" si="1"/>
        <v>1330139.5652227842</v>
      </c>
      <c r="T13" s="175">
        <f t="shared" si="1"/>
        <v>1449370.1786286216</v>
      </c>
      <c r="U13" s="175">
        <f t="shared" si="1"/>
        <v>1569495.0216350029</v>
      </c>
      <c r="V13" s="175">
        <f t="shared" si="1"/>
        <v>1690520.8009639322</v>
      </c>
      <c r="W13" s="175">
        <f t="shared" si="1"/>
        <v>1736214.5999999999</v>
      </c>
      <c r="X13" s="175">
        <f t="shared" si="1"/>
        <v>1749236.2094999999</v>
      </c>
      <c r="Y13" s="175">
        <f t="shared" si="1"/>
        <v>1762355.4810712498</v>
      </c>
      <c r="Z13" s="175">
        <f t="shared" si="1"/>
        <v>1775573.1471792841</v>
      </c>
      <c r="AA13" s="175">
        <f t="shared" si="1"/>
        <v>1788889.9457831287</v>
      </c>
      <c r="AB13" s="175">
        <f t="shared" si="1"/>
        <v>1802306.6203765022</v>
      </c>
      <c r="AC13" s="175">
        <f t="shared" si="1"/>
        <v>1815823.9200293259</v>
      </c>
      <c r="AD13" s="175">
        <f t="shared" si="1"/>
        <v>1829442.5994295459</v>
      </c>
      <c r="AE13" s="175">
        <f t="shared" si="1"/>
        <v>1843163.4189252674</v>
      </c>
      <c r="AF13" s="175">
        <f t="shared" si="1"/>
        <v>1856987.144567207</v>
      </c>
    </row>
    <row r="14" spans="1:32" x14ac:dyDescent="0.25">
      <c r="A14" s="173" t="s">
        <v>116</v>
      </c>
      <c r="B14" s="174">
        <f>SUM(C14:AF14)</f>
        <v>731767.07363782846</v>
      </c>
      <c r="C14" s="175">
        <f>MAX(0,C5-C6)-C12</f>
        <v>0</v>
      </c>
      <c r="D14" s="175">
        <f t="shared" ref="D14:AF14" si="2">MAX(0,D5-D6)-D12</f>
        <v>0</v>
      </c>
      <c r="E14" s="175">
        <f t="shared" si="2"/>
        <v>0</v>
      </c>
      <c r="F14" s="175">
        <f t="shared" si="2"/>
        <v>0</v>
      </c>
      <c r="G14" s="175">
        <f t="shared" si="2"/>
        <v>0</v>
      </c>
      <c r="H14" s="175">
        <f t="shared" si="2"/>
        <v>0</v>
      </c>
      <c r="I14" s="175">
        <f t="shared" si="2"/>
        <v>0</v>
      </c>
      <c r="J14" s="175">
        <f t="shared" si="2"/>
        <v>0</v>
      </c>
      <c r="K14" s="175">
        <f t="shared" si="2"/>
        <v>0</v>
      </c>
      <c r="L14" s="175">
        <f t="shared" si="2"/>
        <v>0</v>
      </c>
      <c r="M14" s="175">
        <f t="shared" si="2"/>
        <v>0</v>
      </c>
      <c r="N14" s="175">
        <f t="shared" si="2"/>
        <v>0</v>
      </c>
      <c r="O14" s="175">
        <f t="shared" si="2"/>
        <v>0</v>
      </c>
      <c r="P14" s="175">
        <f t="shared" si="2"/>
        <v>0</v>
      </c>
      <c r="Q14" s="175">
        <f t="shared" si="2"/>
        <v>0</v>
      </c>
      <c r="R14" s="175">
        <f t="shared" si="2"/>
        <v>0</v>
      </c>
      <c r="S14" s="175">
        <f t="shared" si="2"/>
        <v>0</v>
      </c>
      <c r="T14" s="175">
        <f t="shared" si="2"/>
        <v>0</v>
      </c>
      <c r="U14" s="175">
        <f t="shared" si="2"/>
        <v>0</v>
      </c>
      <c r="V14" s="175">
        <f t="shared" si="2"/>
        <v>0</v>
      </c>
      <c r="W14" s="175">
        <f t="shared" si="2"/>
        <v>76239.673637828557</v>
      </c>
      <c r="X14" s="175">
        <f t="shared" si="2"/>
        <v>109254.56666666665</v>
      </c>
      <c r="Y14" s="175">
        <f t="shared" si="2"/>
        <v>109254.56666666665</v>
      </c>
      <c r="Z14" s="175">
        <f t="shared" si="2"/>
        <v>109254.56666666665</v>
      </c>
      <c r="AA14" s="175">
        <f t="shared" si="2"/>
        <v>109254.56666666665</v>
      </c>
      <c r="AB14" s="175">
        <f t="shared" si="2"/>
        <v>109254.56666666665</v>
      </c>
      <c r="AC14" s="175">
        <f t="shared" si="2"/>
        <v>109254.56666666665</v>
      </c>
      <c r="AD14" s="175">
        <f t="shared" si="2"/>
        <v>0</v>
      </c>
      <c r="AE14" s="175">
        <f t="shared" si="2"/>
        <v>0</v>
      </c>
      <c r="AF14" s="175">
        <f t="shared" si="2"/>
        <v>0</v>
      </c>
    </row>
    <row r="15" spans="1:32" x14ac:dyDescent="0.25">
      <c r="A15" s="92"/>
      <c r="B15" s="92"/>
      <c r="C15" s="92"/>
      <c r="D15" s="92"/>
      <c r="E15" s="92"/>
      <c r="F15" s="92"/>
      <c r="G15" s="92"/>
      <c r="H15" s="92"/>
      <c r="I15" s="92"/>
      <c r="J15" s="92"/>
      <c r="K15" s="92"/>
      <c r="L15" s="92"/>
      <c r="M15" s="92"/>
      <c r="N15" s="92"/>
      <c r="O15" s="92"/>
      <c r="P15" s="92"/>
      <c r="Q15" s="92"/>
      <c r="R15" s="92"/>
      <c r="S15" s="92"/>
      <c r="T15" s="92"/>
      <c r="U15" s="92"/>
      <c r="V15" s="92"/>
      <c r="W15" s="92"/>
      <c r="X15" s="92"/>
      <c r="Y15" s="92"/>
      <c r="Z15" s="92"/>
      <c r="AA15" s="92"/>
      <c r="AB15" s="92"/>
      <c r="AC15" s="92"/>
      <c r="AD15" s="92"/>
      <c r="AE15" s="92"/>
      <c r="AF15" s="92"/>
    </row>
    <row r="16" spans="1:32" ht="19.5" customHeight="1" x14ac:dyDescent="0.25">
      <c r="A16" s="178" t="s">
        <v>117</v>
      </c>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row>
    <row r="17" spans="1:32" x14ac:dyDescent="0.25">
      <c r="A17" s="181" t="s">
        <v>118</v>
      </c>
      <c r="B17" s="183">
        <f>INDEX(C13:AF13,MATCH(Inputs!$C$35,C3:AF3,0))</f>
        <v>1856987.144567207</v>
      </c>
      <c r="C17" s="184" t="s">
        <v>119</v>
      </c>
      <c r="D17" s="92"/>
      <c r="E17" s="92"/>
      <c r="F17" s="92"/>
      <c r="G17" s="92"/>
      <c r="H17" s="92"/>
      <c r="I17" s="92"/>
      <c r="J17" s="92"/>
      <c r="K17" s="92"/>
      <c r="L17" s="92"/>
      <c r="M17" s="92"/>
      <c r="N17" s="92"/>
      <c r="O17" s="92"/>
      <c r="P17" s="92"/>
      <c r="Q17" s="92"/>
      <c r="R17" s="92"/>
      <c r="S17" s="92"/>
      <c r="T17" s="92"/>
      <c r="U17" s="92"/>
      <c r="V17" s="92"/>
      <c r="W17" s="92"/>
      <c r="X17" s="92"/>
      <c r="Y17" s="92"/>
      <c r="Z17" s="92"/>
      <c r="AA17" s="92"/>
      <c r="AB17" s="92"/>
      <c r="AC17" s="92"/>
      <c r="AD17" s="92"/>
      <c r="AE17" s="92"/>
      <c r="AF17" s="92"/>
    </row>
    <row r="18" spans="1:32" x14ac:dyDescent="0.25">
      <c r="A18" s="181" t="s">
        <v>86</v>
      </c>
      <c r="B18" s="183">
        <f>$B$8*Inputs!$C$42</f>
        <v>26043.218999999997</v>
      </c>
      <c r="C18" s="92"/>
      <c r="D18" s="92"/>
      <c r="E18" s="92"/>
      <c r="F18" s="92"/>
      <c r="G18" s="92"/>
      <c r="H18" s="92"/>
      <c r="I18" s="92"/>
      <c r="J18" s="92"/>
      <c r="K18" s="92"/>
      <c r="L18" s="92"/>
      <c r="M18" s="92"/>
      <c r="N18" s="92"/>
      <c r="O18" s="92"/>
      <c r="P18" s="92"/>
      <c r="Q18" s="92"/>
      <c r="R18" s="92"/>
      <c r="S18" s="92"/>
      <c r="T18" s="92"/>
      <c r="U18" s="92"/>
      <c r="V18" s="92"/>
      <c r="W18" s="92"/>
      <c r="X18" s="92"/>
      <c r="Y18" s="92"/>
      <c r="Z18" s="92"/>
      <c r="AA18" s="92"/>
      <c r="AB18" s="92"/>
      <c r="AC18" s="92"/>
      <c r="AD18" s="92"/>
      <c r="AE18" s="92"/>
      <c r="AF18" s="92"/>
    </row>
    <row r="19" spans="1:32" x14ac:dyDescent="0.25">
      <c r="A19" s="181" t="s">
        <v>87</v>
      </c>
      <c r="B19" s="183">
        <f>Engine!$B$17*Inputs!$C$43</f>
        <v>18569.87144567207</v>
      </c>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92"/>
      <c r="AC19" s="92"/>
      <c r="AD19" s="92"/>
      <c r="AE19" s="92"/>
      <c r="AF19" s="92"/>
    </row>
    <row r="20" spans="1:32" x14ac:dyDescent="0.25">
      <c r="A20" s="181" t="s">
        <v>45</v>
      </c>
      <c r="B20" s="183">
        <f>Engine!$B$17+Engine!$B$18+Engine!$B$19</f>
        <v>1901600.2350128791</v>
      </c>
      <c r="C20" s="184" t="s">
        <v>120</v>
      </c>
      <c r="D20" s="92"/>
      <c r="E20" s="92"/>
      <c r="F20" s="92"/>
      <c r="G20" s="92"/>
      <c r="H20" s="92"/>
      <c r="I20" s="92"/>
      <c r="J20" s="92"/>
      <c r="K20" s="92"/>
      <c r="L20" s="92"/>
      <c r="M20" s="92"/>
      <c r="N20" s="92"/>
      <c r="O20" s="92"/>
      <c r="P20" s="92"/>
      <c r="Q20" s="92"/>
      <c r="R20" s="92"/>
      <c r="S20" s="92"/>
      <c r="T20" s="92"/>
      <c r="U20" s="92"/>
      <c r="V20" s="92"/>
      <c r="W20" s="92"/>
      <c r="X20" s="92"/>
      <c r="Y20" s="92"/>
      <c r="Z20" s="92"/>
      <c r="AA20" s="92"/>
      <c r="AB20" s="92"/>
      <c r="AC20" s="92"/>
      <c r="AD20" s="92"/>
      <c r="AE20" s="92"/>
      <c r="AF20" s="92"/>
    </row>
    <row r="21" spans="1:32" x14ac:dyDescent="0.25">
      <c r="A21" s="181" t="s">
        <v>543</v>
      </c>
      <c r="B21" s="183">
        <f>SUM(C11:AF11)+Engine!$B$18+Engine!$B$19+Engine!$B$28+Engine!$B$31</f>
        <v>264676.30865070806</v>
      </c>
      <c r="C21" s="184" t="s">
        <v>121</v>
      </c>
      <c r="D21" s="92"/>
      <c r="E21" s="92"/>
      <c r="F21" s="92"/>
      <c r="G21" s="92"/>
      <c r="H21" s="92"/>
      <c r="I21" s="92"/>
      <c r="J21" s="92"/>
      <c r="K21" s="92"/>
      <c r="L21" s="92"/>
      <c r="M21" s="92"/>
      <c r="N21" s="92"/>
      <c r="O21" s="92"/>
      <c r="P21" s="92"/>
      <c r="Q21" s="92"/>
      <c r="R21" s="92"/>
      <c r="S21" s="92"/>
      <c r="T21" s="92"/>
      <c r="U21" s="92"/>
      <c r="V21" s="92"/>
      <c r="W21" s="92"/>
      <c r="X21" s="92"/>
      <c r="Y21" s="92"/>
      <c r="Z21" s="92"/>
      <c r="AA21" s="92"/>
      <c r="AB21" s="92"/>
      <c r="AC21" s="92"/>
      <c r="AD21" s="92"/>
      <c r="AE21" s="92"/>
      <c r="AF21" s="92"/>
    </row>
    <row r="22" spans="1:32" x14ac:dyDescent="0.25">
      <c r="A22" s="181" t="s">
        <v>38</v>
      </c>
      <c r="B22" s="183">
        <f>MAX(C13:AF13)</f>
        <v>1856987.144567207</v>
      </c>
      <c r="C22" s="92"/>
      <c r="D22" s="92"/>
      <c r="E22" s="92"/>
      <c r="F22" s="92"/>
      <c r="G22" s="92"/>
      <c r="H22" s="92"/>
      <c r="I22" s="92"/>
      <c r="J22" s="92"/>
      <c r="K22" s="92"/>
      <c r="L22" s="92"/>
      <c r="M22" s="92"/>
      <c r="N22" s="92"/>
      <c r="O22" s="92"/>
      <c r="P22" s="92"/>
      <c r="Q22" s="92"/>
      <c r="R22" s="92"/>
      <c r="S22" s="92"/>
      <c r="T22" s="92"/>
      <c r="U22" s="92"/>
      <c r="V22" s="92"/>
      <c r="W22" s="92"/>
      <c r="X22" s="92"/>
      <c r="Y22" s="92"/>
      <c r="Z22" s="92"/>
      <c r="AA22" s="92"/>
      <c r="AB22" s="92"/>
      <c r="AC22" s="92"/>
      <c r="AD22" s="92"/>
      <c r="AE22" s="92"/>
      <c r="AF22" s="92"/>
    </row>
    <row r="23" spans="1:32" x14ac:dyDescent="0.25">
      <c r="A23" s="181" t="s">
        <v>122</v>
      </c>
      <c r="B23" s="183">
        <f>MAX(0,SUM(C14:AF14)-$B$27)</f>
        <v>731767.07363782846</v>
      </c>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92"/>
      <c r="AC23" s="92"/>
      <c r="AD23" s="92"/>
      <c r="AE23" s="92"/>
      <c r="AF23" s="92"/>
    </row>
    <row r="24" spans="1:32" x14ac:dyDescent="0.25">
      <c r="A24" s="181" t="s">
        <v>123</v>
      </c>
      <c r="B24" s="183">
        <f>Engine!$B$23*(1-Inputs!$C$19)</f>
        <v>219530.12209134857</v>
      </c>
      <c r="C24" s="92"/>
      <c r="D24" s="92"/>
      <c r="E24" s="92"/>
      <c r="F24" s="92"/>
      <c r="G24" s="92"/>
      <c r="H24" s="92"/>
      <c r="I24" s="92"/>
      <c r="J24" s="92"/>
      <c r="K24" s="92"/>
      <c r="L24" s="92"/>
      <c r="M24" s="92"/>
      <c r="N24" s="92"/>
      <c r="O24" s="92"/>
      <c r="P24" s="92"/>
      <c r="Q24" s="92"/>
      <c r="R24" s="92"/>
      <c r="S24" s="92"/>
      <c r="T24" s="92"/>
      <c r="U24" s="92"/>
      <c r="V24" s="92"/>
      <c r="W24" s="92"/>
      <c r="X24" s="92"/>
      <c r="Y24" s="92"/>
      <c r="Z24" s="92"/>
      <c r="AA24" s="92"/>
      <c r="AB24" s="92"/>
      <c r="AC24" s="92"/>
      <c r="AD24" s="92"/>
      <c r="AE24" s="92"/>
      <c r="AF24" s="92"/>
    </row>
    <row r="25" spans="1:32" x14ac:dyDescent="0.25">
      <c r="A25" s="181" t="s">
        <v>124</v>
      </c>
      <c r="B25" s="183">
        <f>Engine!$B$23*Inputs!$C$19</f>
        <v>512236.95154647989</v>
      </c>
      <c r="C25" s="92"/>
      <c r="D25" s="92"/>
      <c r="E25" s="92"/>
      <c r="F25" s="92"/>
      <c r="G25" s="92"/>
      <c r="H25" s="92"/>
      <c r="I25" s="92"/>
      <c r="J25" s="92"/>
      <c r="K25" s="92"/>
      <c r="L25" s="92"/>
      <c r="M25" s="92"/>
      <c r="N25" s="92"/>
      <c r="O25" s="92"/>
      <c r="P25" s="92"/>
      <c r="Q25" s="92"/>
      <c r="R25" s="92"/>
      <c r="S25" s="92"/>
      <c r="T25" s="92"/>
      <c r="U25" s="92"/>
      <c r="V25" s="92"/>
      <c r="W25" s="92"/>
      <c r="X25" s="92"/>
      <c r="Y25" s="92"/>
      <c r="Z25" s="92"/>
      <c r="AA25" s="92"/>
      <c r="AB25" s="92"/>
      <c r="AC25" s="92"/>
      <c r="AD25" s="92"/>
      <c r="AE25" s="92"/>
      <c r="AF25" s="92"/>
    </row>
    <row r="26" spans="1:32" x14ac:dyDescent="0.25">
      <c r="A26" s="181" t="s">
        <v>125</v>
      </c>
      <c r="B26" s="174">
        <f>(B23+SUM(C12:AF12)+$B$30+$B$27)-Inputs!$C$52</f>
        <v>0</v>
      </c>
      <c r="C26" s="184" t="s">
        <v>126</v>
      </c>
      <c r="D26" s="92"/>
      <c r="E26" s="92"/>
      <c r="F26" s="92"/>
      <c r="G26" s="92"/>
      <c r="H26" s="92"/>
      <c r="I26" s="92"/>
      <c r="J26" s="92"/>
      <c r="K26" s="92"/>
      <c r="L26" s="92"/>
      <c r="M26" s="92"/>
      <c r="N26" s="92"/>
      <c r="O26" s="92"/>
      <c r="P26" s="92"/>
      <c r="Q26" s="92"/>
      <c r="R26" s="92"/>
      <c r="S26" s="92"/>
      <c r="T26" s="92"/>
      <c r="U26" s="92"/>
      <c r="V26" s="92"/>
      <c r="W26" s="92"/>
      <c r="X26" s="92"/>
      <c r="Y26" s="92"/>
      <c r="Z26" s="92"/>
      <c r="AA26" s="92"/>
      <c r="AB26" s="92"/>
      <c r="AC26" s="92"/>
      <c r="AD26" s="92"/>
      <c r="AE26" s="92"/>
      <c r="AF26" s="92"/>
    </row>
    <row r="27" spans="1:32" x14ac:dyDescent="0.25">
      <c r="A27" s="185" t="s">
        <v>263</v>
      </c>
      <c r="B27" s="186">
        <f>Inputs!$C$14*MAX(0,Inputs!$C$21*Inputs!$C$53-Inputs!$C$54)</f>
        <v>0</v>
      </c>
      <c r="C27" s="92"/>
      <c r="D27" s="92"/>
      <c r="E27" s="92"/>
      <c r="F27" s="92"/>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row>
    <row r="28" spans="1:32" x14ac:dyDescent="0.25">
      <c r="A28" s="185" t="s">
        <v>264</v>
      </c>
      <c r="B28" s="186">
        <f>$B$27*((1+Inputs!$C$11)^((Inputs!$C$35-(Inputs!$C$33+Inputs!$C$34)/2)/12)-1)</f>
        <v>0</v>
      </c>
      <c r="C28" s="92"/>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2"/>
    </row>
    <row r="29" spans="1:32" x14ac:dyDescent="0.25">
      <c r="A29" s="185" t="s">
        <v>265</v>
      </c>
      <c r="B29" s="186">
        <f>$B$27+$B$28</f>
        <v>0</v>
      </c>
      <c r="C29" s="92"/>
      <c r="D29" s="92"/>
      <c r="E29" s="92"/>
      <c r="F29" s="92"/>
      <c r="G29" s="92"/>
      <c r="H29" s="92"/>
      <c r="I29" s="92"/>
      <c r="J29" s="92"/>
      <c r="K29" s="92"/>
      <c r="L29" s="92"/>
      <c r="M29" s="92"/>
      <c r="N29" s="92"/>
      <c r="O29" s="92"/>
      <c r="P29" s="92"/>
      <c r="Q29" s="92"/>
      <c r="R29" s="92"/>
      <c r="S29" s="92"/>
      <c r="T29" s="92"/>
      <c r="U29" s="92"/>
      <c r="V29" s="92"/>
      <c r="W29" s="92"/>
      <c r="X29" s="92"/>
      <c r="Y29" s="92"/>
      <c r="Z29" s="92"/>
      <c r="AA29" s="92"/>
      <c r="AB29" s="92"/>
      <c r="AC29" s="92"/>
      <c r="AD29" s="92"/>
      <c r="AE29" s="92"/>
      <c r="AF29" s="92"/>
    </row>
    <row r="30" spans="1:32" x14ac:dyDescent="0.25">
      <c r="A30" s="187" t="s">
        <v>381</v>
      </c>
      <c r="B30" s="177">
        <f>SUM(C6:AF6)</f>
        <v>0</v>
      </c>
      <c r="C30" s="92"/>
      <c r="D30" s="92"/>
      <c r="E30" s="92"/>
      <c r="F30" s="92"/>
      <c r="G30" s="92"/>
      <c r="H30" s="92"/>
      <c r="I30" s="92"/>
      <c r="J30" s="92"/>
      <c r="K30" s="92"/>
      <c r="L30" s="92"/>
      <c r="M30" s="92"/>
      <c r="N30" s="92"/>
      <c r="O30" s="92"/>
      <c r="P30" s="92"/>
      <c r="Q30" s="92"/>
      <c r="R30" s="92"/>
      <c r="S30" s="92"/>
      <c r="T30" s="92"/>
      <c r="U30" s="92"/>
      <c r="V30" s="92"/>
      <c r="W30" s="92"/>
      <c r="X30" s="92"/>
      <c r="Y30" s="92"/>
      <c r="Z30" s="92"/>
      <c r="AA30" s="92"/>
      <c r="AB30" s="92"/>
      <c r="AC30" s="92"/>
      <c r="AD30" s="92"/>
      <c r="AE30" s="92"/>
      <c r="AF30" s="92"/>
    </row>
    <row r="31" spans="1:32" x14ac:dyDescent="0.25">
      <c r="A31" s="246" t="s">
        <v>542</v>
      </c>
      <c r="B31" s="250">
        <f>Inputs!$C$86*MAX(0,Inputs!$C$35-Inputs!$C$34)</f>
        <v>0</v>
      </c>
      <c r="C31" s="92"/>
      <c r="D31" s="92"/>
      <c r="E31" s="92"/>
      <c r="F31" s="92"/>
      <c r="G31" s="92"/>
      <c r="H31" s="92"/>
      <c r="I31" s="92"/>
      <c r="J31" s="92"/>
      <c r="K31" s="92"/>
      <c r="L31" s="92"/>
      <c r="M31" s="92"/>
      <c r="N31" s="92"/>
      <c r="O31" s="92"/>
      <c r="P31" s="92"/>
      <c r="Q31" s="92"/>
      <c r="R31" s="92"/>
      <c r="S31" s="92"/>
      <c r="T31" s="92"/>
      <c r="U31" s="92"/>
      <c r="V31" s="92"/>
      <c r="W31" s="92"/>
      <c r="X31" s="92"/>
      <c r="Y31" s="92"/>
      <c r="Z31" s="92"/>
      <c r="AA31" s="92"/>
      <c r="AB31" s="92"/>
      <c r="AC31" s="92"/>
      <c r="AD31" s="92"/>
      <c r="AE31" s="92"/>
      <c r="AF31" s="92"/>
    </row>
    <row r="32" spans="1:32" x14ac:dyDescent="0.25">
      <c r="A32" s="188" t="s">
        <v>339</v>
      </c>
      <c r="B32" s="111"/>
      <c r="C32" s="111"/>
      <c r="D32" s="111"/>
      <c r="E32" s="111"/>
      <c r="F32" s="111"/>
      <c r="G32" s="111"/>
      <c r="H32" s="111"/>
      <c r="I32" s="111"/>
      <c r="J32" s="111"/>
      <c r="K32" s="111"/>
      <c r="L32" s="111"/>
      <c r="M32" s="111"/>
      <c r="N32" s="111"/>
      <c r="O32" s="111"/>
      <c r="P32" s="111"/>
      <c r="Q32" s="111"/>
      <c r="R32" s="111"/>
      <c r="S32" s="111"/>
      <c r="T32" s="111"/>
      <c r="U32" s="111"/>
      <c r="V32" s="111"/>
      <c r="W32" s="111"/>
      <c r="X32" s="111"/>
      <c r="Y32" s="111"/>
      <c r="Z32" s="111"/>
      <c r="AA32" s="111"/>
      <c r="AB32" s="111"/>
      <c r="AC32" s="111"/>
      <c r="AD32" s="111"/>
      <c r="AE32" s="111"/>
      <c r="AF32" s="111"/>
    </row>
    <row r="33" spans="1:32" x14ac:dyDescent="0.25">
      <c r="A33" s="111"/>
      <c r="B33" s="189" t="s">
        <v>340</v>
      </c>
      <c r="C33" s="39">
        <f>Cashflow!C4</f>
        <v>46204</v>
      </c>
      <c r="D33" s="39">
        <f>Cashflow!D4</f>
        <v>46235</v>
      </c>
      <c r="E33" s="39">
        <f>Cashflow!E4</f>
        <v>46266</v>
      </c>
      <c r="F33" s="39">
        <f>Cashflow!F4</f>
        <v>46296</v>
      </c>
      <c r="G33" s="39">
        <f>Cashflow!G4</f>
        <v>46327</v>
      </c>
      <c r="H33" s="39">
        <f>Cashflow!H4</f>
        <v>46357</v>
      </c>
      <c r="I33" s="39">
        <f>Cashflow!I4</f>
        <v>46388</v>
      </c>
      <c r="J33" s="39">
        <f>Cashflow!J4</f>
        <v>46419</v>
      </c>
      <c r="K33" s="39">
        <f>Cashflow!K4</f>
        <v>46447</v>
      </c>
      <c r="L33" s="39">
        <f>Cashflow!L4</f>
        <v>46478</v>
      </c>
      <c r="M33" s="39">
        <f>Cashflow!M4</f>
        <v>46508</v>
      </c>
      <c r="N33" s="39">
        <f>Cashflow!N4</f>
        <v>46539</v>
      </c>
      <c r="O33" s="39">
        <f>Cashflow!O4</f>
        <v>46569</v>
      </c>
      <c r="P33" s="39">
        <f>Cashflow!P4</f>
        <v>46600</v>
      </c>
      <c r="Q33" s="39">
        <f>Cashflow!Q4</f>
        <v>46631</v>
      </c>
      <c r="R33" s="39">
        <f>Cashflow!R4</f>
        <v>46661</v>
      </c>
      <c r="S33" s="39">
        <f>Cashflow!S4</f>
        <v>46692</v>
      </c>
      <c r="T33" s="39">
        <f>Cashflow!T4</f>
        <v>46722</v>
      </c>
      <c r="U33" s="39">
        <f>Cashflow!U4</f>
        <v>46753</v>
      </c>
      <c r="V33" s="39">
        <f>Cashflow!V4</f>
        <v>46784</v>
      </c>
      <c r="W33" s="39">
        <f>Cashflow!W4</f>
        <v>46813</v>
      </c>
      <c r="X33" s="39">
        <f>Cashflow!X4</f>
        <v>46844</v>
      </c>
      <c r="Y33" s="39">
        <f>Cashflow!Y4</f>
        <v>46874</v>
      </c>
      <c r="Z33" s="39">
        <f>Cashflow!Z4</f>
        <v>46905</v>
      </c>
      <c r="AA33" s="39">
        <f>Cashflow!AA4</f>
        <v>46935</v>
      </c>
      <c r="AB33" s="39">
        <f>Cashflow!AB4</f>
        <v>46966</v>
      </c>
      <c r="AC33" s="39">
        <f>Cashflow!AC4</f>
        <v>46997</v>
      </c>
      <c r="AD33" s="39">
        <f>Cashflow!AD4</f>
        <v>47027</v>
      </c>
      <c r="AE33" s="39">
        <f>Cashflow!AE4</f>
        <v>47058</v>
      </c>
      <c r="AF33" s="39">
        <f>Cashflow!AF4</f>
        <v>47088</v>
      </c>
    </row>
    <row r="34" spans="1:32" x14ac:dyDescent="0.25">
      <c r="A34" s="111"/>
      <c r="B34" s="189" t="s">
        <v>341</v>
      </c>
      <c r="C34" s="190">
        <f>Cashflow!C24-Cashflow!C19</f>
        <v>-537390.85</v>
      </c>
      <c r="D34" s="190">
        <f>Cashflow!D24-Cashflow!D19</f>
        <v>-12390.849999999999</v>
      </c>
      <c r="E34" s="190">
        <f>Cashflow!E24-Cashflow!E19</f>
        <v>-12390.849999999999</v>
      </c>
      <c r="F34" s="190">
        <f>Cashflow!F24-Cashflow!F19</f>
        <v>-12390.849999999999</v>
      </c>
      <c r="G34" s="190">
        <f>Cashflow!G24-Cashflow!G19</f>
        <v>-12390.849999999999</v>
      </c>
      <c r="H34" s="190">
        <f>Cashflow!H24-Cashflow!H19</f>
        <v>-12390.849999999999</v>
      </c>
      <c r="I34" s="190">
        <f>Cashflow!I24-Cashflow!I19</f>
        <v>-109254.56666666667</v>
      </c>
      <c r="J34" s="190">
        <f>Cashflow!J24-Cashflow!J19</f>
        <v>-109254.56666666667</v>
      </c>
      <c r="K34" s="190">
        <f>Cashflow!K24-Cashflow!K19</f>
        <v>-109254.56666666667</v>
      </c>
      <c r="L34" s="190">
        <f>Cashflow!L24-Cashflow!L19</f>
        <v>-109254.56666666667</v>
      </c>
      <c r="M34" s="190">
        <f>Cashflow!M24-Cashflow!M19</f>
        <v>-109254.56666666667</v>
      </c>
      <c r="N34" s="190">
        <f>Cashflow!N24-Cashflow!N19</f>
        <v>-109254.56666666667</v>
      </c>
      <c r="O34" s="190">
        <f>Cashflow!O24-Cashflow!O19</f>
        <v>-109254.56666666667</v>
      </c>
      <c r="P34" s="190">
        <f>Cashflow!P24-Cashflow!P19</f>
        <v>-109254.56666666667</v>
      </c>
      <c r="Q34" s="190">
        <f>Cashflow!Q24-Cashflow!Q19</f>
        <v>-109254.56666666667</v>
      </c>
      <c r="R34" s="190">
        <f>Cashflow!R24-Cashflow!R19</f>
        <v>-109254.56666666667</v>
      </c>
      <c r="S34" s="190">
        <f>Cashflow!S24-Cashflow!S19</f>
        <v>-109254.56666666667</v>
      </c>
      <c r="T34" s="190">
        <f>Cashflow!T24-Cashflow!T19</f>
        <v>-109254.56666666667</v>
      </c>
      <c r="U34" s="190">
        <f>Cashflow!U24-Cashflow!U19</f>
        <v>-109254.56666666667</v>
      </c>
      <c r="V34" s="190">
        <f>Cashflow!V24-Cashflow!V19</f>
        <v>-109254.56666666667</v>
      </c>
      <c r="W34" s="190">
        <f>Cashflow!W24-Cashflow!W19</f>
        <v>-109254.56666666667</v>
      </c>
      <c r="X34" s="190">
        <f>Cashflow!X24-Cashflow!X19</f>
        <v>-109254.56666666668</v>
      </c>
      <c r="Y34" s="190">
        <f>Cashflow!Y24-Cashflow!Y19</f>
        <v>-109254.56666666668</v>
      </c>
      <c r="Z34" s="190">
        <f>Cashflow!Z24-Cashflow!Z19</f>
        <v>-109254.56666666667</v>
      </c>
      <c r="AA34" s="190">
        <f>Cashflow!AA24-Cashflow!AA19</f>
        <v>-109254.56666666667</v>
      </c>
      <c r="AB34" s="190">
        <f>Cashflow!AB24-Cashflow!AB19</f>
        <v>-109254.56666666667</v>
      </c>
      <c r="AC34" s="190">
        <f>Cashflow!AC24-Cashflow!AC19</f>
        <v>-109254.56666666667</v>
      </c>
      <c r="AD34" s="190">
        <f>Cashflow!AD24-Cashflow!AD19</f>
        <v>0</v>
      </c>
      <c r="AE34" s="190">
        <f>Cashflow!AE24-Cashflow!AE19</f>
        <v>0</v>
      </c>
      <c r="AF34" s="190">
        <f>Cashflow!AF24-Cashflow!AF19</f>
        <v>3773000</v>
      </c>
    </row>
    <row r="35" spans="1:32" x14ac:dyDescent="0.25">
      <c r="A35" s="111"/>
      <c r="B35" s="189" t="s">
        <v>342</v>
      </c>
      <c r="C35" s="190">
        <f>-C14+IF(C$3=1,-IF(Inputs!$C$17=1,Inputs!$C$30,0),0)+IF(C$3=Inputs!$C$35,Inputs!$C$25-$B$30-$B$20-$B$29-$B$31,0)</f>
        <v>-525000</v>
      </c>
      <c r="D35" s="190">
        <f>-D14+IF(D$3=1,-IF(Inputs!$C$17=1,Inputs!$C$30,0),0)+IF(D$3=Inputs!$C$35,Inputs!$C$25-$B$30-$B$20-$B$29-$B$31,0)</f>
        <v>0</v>
      </c>
      <c r="E35" s="190">
        <f>-E14+IF(E$3=1,-IF(Inputs!$C$17=1,Inputs!$C$30,0),0)+IF(E$3=Inputs!$C$35,Inputs!$C$25-$B$30-$B$20-$B$29-$B$31,0)</f>
        <v>0</v>
      </c>
      <c r="F35" s="190">
        <f>-F14+IF(F$3=1,-IF(Inputs!$C$17=1,Inputs!$C$30,0),0)+IF(F$3=Inputs!$C$35,Inputs!$C$25-$B$30-$B$20-$B$29-$B$31,0)</f>
        <v>0</v>
      </c>
      <c r="G35" s="190">
        <f>-G14+IF(G$3=1,-IF(Inputs!$C$17=1,Inputs!$C$30,0),0)+IF(G$3=Inputs!$C$35,Inputs!$C$25-$B$30-$B$20-$B$29-$B$31,0)</f>
        <v>0</v>
      </c>
      <c r="H35" s="190">
        <f>-H14+IF(H$3=1,-IF(Inputs!$C$17=1,Inputs!$C$30,0),0)+IF(H$3=Inputs!$C$35,Inputs!$C$25-$B$30-$B$20-$B$29-$B$31,0)</f>
        <v>0</v>
      </c>
      <c r="I35" s="190">
        <f>-I14+IF(I$3=1,-IF(Inputs!$C$17=1,Inputs!$C$30,0),0)+IF(I$3=Inputs!$C$35,Inputs!$C$25-$B$30-$B$20-$B$29-$B$31,0)</f>
        <v>0</v>
      </c>
      <c r="J35" s="190">
        <f>-J14+IF(J$3=1,-IF(Inputs!$C$17=1,Inputs!$C$30,0),0)+IF(J$3=Inputs!$C$35,Inputs!$C$25-$B$30-$B$20-$B$29-$B$31,0)</f>
        <v>0</v>
      </c>
      <c r="K35" s="190">
        <f>-K14+IF(K$3=1,-IF(Inputs!$C$17=1,Inputs!$C$30,0),0)+IF(K$3=Inputs!$C$35,Inputs!$C$25-$B$30-$B$20-$B$29-$B$31,0)</f>
        <v>0</v>
      </c>
      <c r="L35" s="190">
        <f>-L14+IF(L$3=1,-IF(Inputs!$C$17=1,Inputs!$C$30,0),0)+IF(L$3=Inputs!$C$35,Inputs!$C$25-$B$30-$B$20-$B$29-$B$31,0)</f>
        <v>0</v>
      </c>
      <c r="M35" s="190">
        <f>-M14+IF(M$3=1,-IF(Inputs!$C$17=1,Inputs!$C$30,0),0)+IF(M$3=Inputs!$C$35,Inputs!$C$25-$B$30-$B$20-$B$29-$B$31,0)</f>
        <v>0</v>
      </c>
      <c r="N35" s="190">
        <f>-N14+IF(N$3=1,-IF(Inputs!$C$17=1,Inputs!$C$30,0),0)+IF(N$3=Inputs!$C$35,Inputs!$C$25-$B$30-$B$20-$B$29-$B$31,0)</f>
        <v>0</v>
      </c>
      <c r="O35" s="190">
        <f>-O14+IF(O$3=1,-IF(Inputs!$C$17=1,Inputs!$C$30,0),0)+IF(O$3=Inputs!$C$35,Inputs!$C$25-$B$30-$B$20-$B$29-$B$31,0)</f>
        <v>0</v>
      </c>
      <c r="P35" s="190">
        <f>-P14+IF(P$3=1,-IF(Inputs!$C$17=1,Inputs!$C$30,0),0)+IF(P$3=Inputs!$C$35,Inputs!$C$25-$B$30-$B$20-$B$29-$B$31,0)</f>
        <v>0</v>
      </c>
      <c r="Q35" s="190">
        <f>-Q14+IF(Q$3=1,-IF(Inputs!$C$17=1,Inputs!$C$30,0),0)+IF(Q$3=Inputs!$C$35,Inputs!$C$25-$B$30-$B$20-$B$29-$B$31,0)</f>
        <v>0</v>
      </c>
      <c r="R35" s="190">
        <f>-R14+IF(R$3=1,-IF(Inputs!$C$17=1,Inputs!$C$30,0),0)+IF(R$3=Inputs!$C$35,Inputs!$C$25-$B$30-$B$20-$B$29-$B$31,0)</f>
        <v>0</v>
      </c>
      <c r="S35" s="190">
        <f>-S14+IF(S$3=1,-IF(Inputs!$C$17=1,Inputs!$C$30,0),0)+IF(S$3=Inputs!$C$35,Inputs!$C$25-$B$30-$B$20-$B$29-$B$31,0)</f>
        <v>0</v>
      </c>
      <c r="T35" s="190">
        <f>-T14+IF(T$3=1,-IF(Inputs!$C$17=1,Inputs!$C$30,0),0)+IF(T$3=Inputs!$C$35,Inputs!$C$25-$B$30-$B$20-$B$29-$B$31,0)</f>
        <v>0</v>
      </c>
      <c r="U35" s="190">
        <f>-U14+IF(U$3=1,-IF(Inputs!$C$17=1,Inputs!$C$30,0),0)+IF(U$3=Inputs!$C$35,Inputs!$C$25-$B$30-$B$20-$B$29-$B$31,0)</f>
        <v>0</v>
      </c>
      <c r="V35" s="190">
        <f>-V14+IF(V$3=1,-IF(Inputs!$C$17=1,Inputs!$C$30,0),0)+IF(V$3=Inputs!$C$35,Inputs!$C$25-$B$30-$B$20-$B$29-$B$31,0)</f>
        <v>0</v>
      </c>
      <c r="W35" s="190">
        <f>-W14+IF(W$3=1,-IF(Inputs!$C$17=1,Inputs!$C$30,0),0)+IF(W$3=Inputs!$C$35,Inputs!$C$25-$B$30-$B$20-$B$29-$B$31,0)</f>
        <v>-76239.673637828557</v>
      </c>
      <c r="X35" s="190">
        <f>-X14+IF(X$3=1,-IF(Inputs!$C$17=1,Inputs!$C$30,0),0)+IF(X$3=Inputs!$C$35,Inputs!$C$25-$B$30-$B$20-$B$29-$B$31,0)</f>
        <v>-109254.56666666665</v>
      </c>
      <c r="Y35" s="190">
        <f>-Y14+IF(Y$3=1,-IF(Inputs!$C$17=1,Inputs!$C$30,0),0)+IF(Y$3=Inputs!$C$35,Inputs!$C$25-$B$30-$B$20-$B$29-$B$31,0)</f>
        <v>-109254.56666666665</v>
      </c>
      <c r="Z35" s="190">
        <f>-Z14+IF(Z$3=1,-IF(Inputs!$C$17=1,Inputs!$C$30,0),0)+IF(Z$3=Inputs!$C$35,Inputs!$C$25-$B$30-$B$20-$B$29-$B$31,0)</f>
        <v>-109254.56666666665</v>
      </c>
      <c r="AA35" s="190">
        <f>-AA14+IF(AA$3=1,-IF(Inputs!$C$17=1,Inputs!$C$30,0),0)+IF(AA$3=Inputs!$C$35,Inputs!$C$25-$B$30-$B$20-$B$29-$B$31,0)</f>
        <v>-109254.56666666665</v>
      </c>
      <c r="AB35" s="190">
        <f>-AB14+IF(AB$3=1,-IF(Inputs!$C$17=1,Inputs!$C$30,0),0)+IF(AB$3=Inputs!$C$35,Inputs!$C$25-$B$30-$B$20-$B$29-$B$31,0)</f>
        <v>-109254.56666666665</v>
      </c>
      <c r="AC35" s="190">
        <f>-AC14+IF(AC$3=1,-IF(Inputs!$C$17=1,Inputs!$C$30,0),0)+IF(AC$3=Inputs!$C$35,Inputs!$C$25-$B$30-$B$20-$B$29-$B$31,0)</f>
        <v>-109254.56666666665</v>
      </c>
      <c r="AD35" s="190">
        <f>-AD14+IF(AD$3=1,-IF(Inputs!$C$17=1,Inputs!$C$30,0),0)+IF(AD$3=Inputs!$C$35,Inputs!$C$25-$B$30-$B$20-$B$29-$B$31,0)</f>
        <v>0</v>
      </c>
      <c r="AE35" s="190">
        <f>-AE14+IF(AE$3=1,-IF(Inputs!$C$17=1,Inputs!$C$30,0),0)+IF(AE$3=Inputs!$C$35,Inputs!$C$25-$B$30-$B$20-$B$29-$B$31,0)</f>
        <v>0</v>
      </c>
      <c r="AF35" s="190">
        <f>-AF14+IF(AF$3=1,-IF(Inputs!$C$17=1,Inputs!$C$30,0),0)+IF(AF$3=Inputs!$C$35,Inputs!$C$25-$B$30-$B$20-$B$29-$B$31,0)</f>
        <v>1871399.7649871209</v>
      </c>
    </row>
    <row r="36" spans="1:32" x14ac:dyDescent="0.25">
      <c r="A36" s="111"/>
      <c r="B36" s="176" t="s">
        <v>401</v>
      </c>
      <c r="C36" s="190">
        <f>C35-IF(C$3=Inputs!$C$35,$B$43,0)</f>
        <v>-525000</v>
      </c>
      <c r="D36" s="190">
        <f>D35-IF(D$3=Inputs!$C$35,$B$43,0)</f>
        <v>0</v>
      </c>
      <c r="E36" s="190">
        <f>E35-IF(E$3=Inputs!$C$35,$B$43,0)</f>
        <v>0</v>
      </c>
      <c r="F36" s="190">
        <f>F35-IF(F$3=Inputs!$C$35,$B$43,0)</f>
        <v>0</v>
      </c>
      <c r="G36" s="190">
        <f>G35-IF(G$3=Inputs!$C$35,$B$43,0)</f>
        <v>0</v>
      </c>
      <c r="H36" s="190">
        <f>H35-IF(H$3=Inputs!$C$35,$B$43,0)</f>
        <v>0</v>
      </c>
      <c r="I36" s="190">
        <f>I35-IF(I$3=Inputs!$C$35,$B$43,0)</f>
        <v>0</v>
      </c>
      <c r="J36" s="190">
        <f>J35-IF(J$3=Inputs!$C$35,$B$43,0)</f>
        <v>0</v>
      </c>
      <c r="K36" s="190">
        <f>K35-IF(K$3=Inputs!$C$35,$B$43,0)</f>
        <v>0</v>
      </c>
      <c r="L36" s="190">
        <f>L35-IF(L$3=Inputs!$C$35,$B$43,0)</f>
        <v>0</v>
      </c>
      <c r="M36" s="190">
        <f>M35-IF(M$3=Inputs!$C$35,$B$43,0)</f>
        <v>0</v>
      </c>
      <c r="N36" s="190">
        <f>N35-IF(N$3=Inputs!$C$35,$B$43,0)</f>
        <v>0</v>
      </c>
      <c r="O36" s="190">
        <f>O35-IF(O$3=Inputs!$C$35,$B$43,0)</f>
        <v>0</v>
      </c>
      <c r="P36" s="190">
        <f>P35-IF(P$3=Inputs!$C$35,$B$43,0)</f>
        <v>0</v>
      </c>
      <c r="Q36" s="190">
        <f>Q35-IF(Q$3=Inputs!$C$35,$B$43,0)</f>
        <v>0</v>
      </c>
      <c r="R36" s="190">
        <f>R35-IF(R$3=Inputs!$C$35,$B$43,0)</f>
        <v>0</v>
      </c>
      <c r="S36" s="190">
        <f>S35-IF(S$3=Inputs!$C$35,$B$43,0)</f>
        <v>0</v>
      </c>
      <c r="T36" s="190">
        <f>T35-IF(T$3=Inputs!$C$35,$B$43,0)</f>
        <v>0</v>
      </c>
      <c r="U36" s="190">
        <f>U35-IF(U$3=Inputs!$C$35,$B$43,0)</f>
        <v>0</v>
      </c>
      <c r="V36" s="190">
        <f>V35-IF(V$3=Inputs!$C$35,$B$43,0)</f>
        <v>0</v>
      </c>
      <c r="W36" s="190">
        <f>W35-IF(W$3=Inputs!$C$35,$B$43,0)</f>
        <v>-76239.673637828557</v>
      </c>
      <c r="X36" s="190">
        <f>X35-IF(X$3=Inputs!$C$35,$B$43,0)</f>
        <v>-109254.56666666665</v>
      </c>
      <c r="Y36" s="190">
        <f>Y35-IF(Y$3=Inputs!$C$35,$B$43,0)</f>
        <v>-109254.56666666665</v>
      </c>
      <c r="Z36" s="190">
        <f>Z35-IF(Z$3=Inputs!$C$35,$B$43,0)</f>
        <v>-109254.56666666665</v>
      </c>
      <c r="AA36" s="190">
        <f>AA35-IF(AA$3=Inputs!$C$35,$B$43,0)</f>
        <v>-109254.56666666665</v>
      </c>
      <c r="AB36" s="190">
        <f>AB35-IF(AB$3=Inputs!$C$35,$B$43,0)</f>
        <v>-109254.56666666665</v>
      </c>
      <c r="AC36" s="190">
        <f>AC35-IF(AC$3=Inputs!$C$35,$B$43,0)</f>
        <v>-109254.56666666665</v>
      </c>
      <c r="AD36" s="190">
        <f>AD35-IF(AD$3=Inputs!$C$35,$B$43,0)</f>
        <v>0</v>
      </c>
      <c r="AE36" s="190">
        <f>AE35-IF(AE$3=Inputs!$C$35,$B$43,0)</f>
        <v>0</v>
      </c>
      <c r="AF36" s="190">
        <f>AF35-IF(AF$3=Inputs!$C$35,$B$43,0)</f>
        <v>1717741.5921497978</v>
      </c>
    </row>
    <row r="37" spans="1:32" x14ac:dyDescent="0.25">
      <c r="A37" s="111"/>
      <c r="B37" s="111"/>
      <c r="C37" s="111"/>
      <c r="D37" s="111"/>
      <c r="E37" s="111"/>
      <c r="F37" s="111"/>
      <c r="G37" s="111"/>
      <c r="H37" s="111"/>
      <c r="I37" s="111"/>
      <c r="J37" s="111"/>
      <c r="K37" s="111"/>
      <c r="L37" s="111"/>
      <c r="M37" s="111"/>
      <c r="N37" s="111"/>
      <c r="O37" s="111"/>
      <c r="P37" s="111"/>
      <c r="Q37" s="111"/>
      <c r="R37" s="111"/>
      <c r="S37" s="111"/>
      <c r="T37" s="111"/>
      <c r="U37" s="111"/>
      <c r="V37" s="111"/>
      <c r="W37" s="111"/>
      <c r="X37" s="111"/>
      <c r="Y37" s="111"/>
      <c r="Z37" s="111"/>
      <c r="AA37" s="111"/>
      <c r="AB37" s="111"/>
      <c r="AC37" s="111"/>
      <c r="AD37" s="111"/>
      <c r="AE37" s="111"/>
      <c r="AF37" s="111"/>
    </row>
    <row r="38" spans="1:32" x14ac:dyDescent="0.25">
      <c r="A38" s="191" t="s">
        <v>343</v>
      </c>
      <c r="B38" s="40">
        <f>IFERROR((1+IRR(C34:AF34,0.02))^12-1,"n/a")</f>
        <v>0.20863441114028691</v>
      </c>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11"/>
      <c r="AD38" s="111"/>
      <c r="AE38" s="111"/>
      <c r="AF38" s="111"/>
    </row>
    <row r="39" spans="1:32" x14ac:dyDescent="0.25">
      <c r="A39" s="189" t="s">
        <v>344</v>
      </c>
      <c r="B39" s="41">
        <f>IFERROR(SUMIF(C34:AF34,"&gt;0")/-SUMIF(C34:AF34,"&lt;0"),"n/a")</f>
        <v>1.3038710767666617</v>
      </c>
      <c r="C39" s="111"/>
      <c r="D39" s="111"/>
      <c r="E39" s="111"/>
      <c r="F39" s="111"/>
      <c r="G39" s="111"/>
      <c r="H39" s="111"/>
      <c r="I39" s="111"/>
      <c r="J39" s="111"/>
      <c r="K39" s="111"/>
      <c r="L39" s="111"/>
      <c r="M39" s="111"/>
      <c r="N39" s="111"/>
      <c r="O39" s="111"/>
      <c r="P39" s="111"/>
      <c r="Q39" s="111"/>
      <c r="R39" s="111"/>
      <c r="S39" s="111"/>
      <c r="T39" s="111"/>
      <c r="U39" s="111"/>
      <c r="V39" s="111"/>
      <c r="W39" s="111"/>
      <c r="X39" s="111"/>
      <c r="Y39" s="111"/>
      <c r="Z39" s="111"/>
      <c r="AA39" s="111"/>
      <c r="AB39" s="111"/>
      <c r="AC39" s="111"/>
      <c r="AD39" s="111"/>
      <c r="AE39" s="111"/>
      <c r="AF39" s="111"/>
    </row>
    <row r="40" spans="1:32" x14ac:dyDescent="0.25">
      <c r="A40" s="191" t="s">
        <v>345</v>
      </c>
      <c r="B40" s="40">
        <f>IFERROR((1+IRR(C35:AF35,0.02))^12-1,"n/a")</f>
        <v>0.3225051920875448</v>
      </c>
      <c r="C40" s="111"/>
      <c r="D40" s="111"/>
      <c r="E40" s="111"/>
      <c r="F40" s="111"/>
      <c r="G40" s="111"/>
      <c r="H40" s="111"/>
      <c r="I40" s="111"/>
      <c r="J40" s="111"/>
      <c r="K40" s="111"/>
      <c r="L40" s="111"/>
      <c r="M40" s="111"/>
      <c r="N40" s="111"/>
      <c r="O40" s="111"/>
      <c r="P40" s="111"/>
      <c r="Q40" s="111"/>
      <c r="R40" s="111"/>
      <c r="S40" s="111"/>
      <c r="T40" s="111"/>
      <c r="U40" s="111"/>
      <c r="V40" s="111"/>
      <c r="W40" s="111"/>
      <c r="X40" s="111"/>
      <c r="Y40" s="111"/>
      <c r="Z40" s="111"/>
      <c r="AA40" s="111"/>
      <c r="AB40" s="111"/>
      <c r="AC40" s="111"/>
      <c r="AD40" s="111"/>
      <c r="AE40" s="111"/>
      <c r="AF40" s="111"/>
    </row>
    <row r="41" spans="1:32" x14ac:dyDescent="0.25">
      <c r="A41" s="189" t="s">
        <v>346</v>
      </c>
      <c r="B41" s="41">
        <f>IFERROR(SUMIF(C35:AF35,"&gt;0")/-SUMIF(C35:AF35,"&lt;0"),"n/a")</f>
        <v>1.4890585568654191</v>
      </c>
      <c r="C41" s="111"/>
      <c r="D41" s="111"/>
      <c r="E41" s="111"/>
      <c r="F41" s="111"/>
      <c r="G41" s="111"/>
      <c r="H41" s="111"/>
      <c r="I41" s="111"/>
      <c r="J41" s="111"/>
      <c r="K41" s="111"/>
      <c r="L41" s="111"/>
      <c r="M41" s="111"/>
      <c r="N41" s="111"/>
      <c r="O41" s="111"/>
      <c r="P41" s="111"/>
      <c r="Q41" s="111"/>
      <c r="R41" s="111"/>
      <c r="S41" s="111"/>
      <c r="T41" s="111"/>
      <c r="U41" s="111"/>
      <c r="V41" s="111"/>
      <c r="W41" s="111"/>
      <c r="X41" s="111"/>
      <c r="Y41" s="111"/>
      <c r="Z41" s="111"/>
      <c r="AA41" s="111"/>
      <c r="AB41" s="111"/>
      <c r="AC41" s="111"/>
      <c r="AD41" s="111"/>
      <c r="AE41" s="111"/>
      <c r="AF41" s="111"/>
    </row>
    <row r="42" spans="1:32" x14ac:dyDescent="0.25">
      <c r="A42" s="92"/>
      <c r="B42" s="92"/>
      <c r="C42" s="92"/>
      <c r="D42" s="92"/>
      <c r="E42" s="92"/>
      <c r="F42" s="92"/>
      <c r="G42" s="92"/>
      <c r="H42" s="92"/>
      <c r="I42" s="92"/>
      <c r="J42" s="92"/>
      <c r="K42" s="92"/>
      <c r="L42" s="92"/>
      <c r="M42" s="92"/>
      <c r="N42" s="92"/>
      <c r="O42" s="92"/>
      <c r="P42" s="92"/>
      <c r="Q42" s="92"/>
      <c r="R42" s="92"/>
      <c r="S42" s="92"/>
      <c r="T42" s="92"/>
      <c r="U42" s="92"/>
      <c r="V42" s="92"/>
      <c r="W42" s="92"/>
      <c r="X42" s="92"/>
      <c r="Y42" s="92"/>
      <c r="Z42" s="92"/>
      <c r="AA42" s="92"/>
      <c r="AB42" s="92"/>
      <c r="AC42" s="92"/>
      <c r="AD42" s="92"/>
      <c r="AE42" s="92"/>
      <c r="AF42" s="92"/>
    </row>
    <row r="43" spans="1:32" x14ac:dyDescent="0.25">
      <c r="A43" s="176" t="s">
        <v>402</v>
      </c>
      <c r="B43" s="190">
        <f>MAX(0,Summary!$M$8)*Inputs!$C$67</f>
        <v>153658.17283732304</v>
      </c>
      <c r="C43" s="92"/>
      <c r="D43" s="92"/>
      <c r="E43" s="92"/>
      <c r="F43" s="92"/>
      <c r="G43" s="92"/>
      <c r="H43" s="92"/>
      <c r="I43" s="92"/>
      <c r="J43" s="92"/>
      <c r="K43" s="92"/>
      <c r="L43" s="92"/>
      <c r="M43" s="92"/>
      <c r="N43" s="92"/>
      <c r="O43" s="92"/>
      <c r="P43" s="92"/>
      <c r="Q43" s="92"/>
      <c r="R43" s="92"/>
      <c r="S43" s="92"/>
      <c r="T43" s="92"/>
      <c r="U43" s="92"/>
      <c r="V43" s="92"/>
      <c r="W43" s="92"/>
      <c r="X43" s="92"/>
      <c r="Y43" s="92"/>
      <c r="Z43" s="92"/>
      <c r="AA43" s="92"/>
      <c r="AB43" s="92"/>
      <c r="AC43" s="92"/>
      <c r="AD43" s="92"/>
      <c r="AE43" s="92"/>
      <c r="AF43" s="92"/>
    </row>
    <row r="44" spans="1:32" x14ac:dyDescent="0.25">
      <c r="A44" s="191" t="s">
        <v>403</v>
      </c>
      <c r="B44" s="192">
        <f>Summary!$M$8-$B$43</f>
        <v>460974.51851196913</v>
      </c>
      <c r="C44" s="92"/>
      <c r="D44" s="92"/>
      <c r="E44" s="92"/>
      <c r="F44" s="92"/>
      <c r="G44" s="92"/>
      <c r="H44" s="92"/>
      <c r="I44" s="92"/>
      <c r="J44" s="92"/>
      <c r="K44" s="92"/>
      <c r="L44" s="92"/>
      <c r="M44" s="92"/>
      <c r="N44" s="92"/>
      <c r="O44" s="92"/>
      <c r="P44" s="92"/>
      <c r="Q44" s="92"/>
      <c r="R44" s="92"/>
      <c r="S44" s="92"/>
      <c r="T44" s="92"/>
      <c r="U44" s="92"/>
      <c r="V44" s="92"/>
      <c r="W44" s="92"/>
      <c r="X44" s="92"/>
      <c r="Y44" s="92"/>
      <c r="Z44" s="92"/>
      <c r="AA44" s="92"/>
      <c r="AB44" s="92"/>
      <c r="AC44" s="92"/>
      <c r="AD44" s="92"/>
      <c r="AE44" s="92"/>
      <c r="AF44" s="92"/>
    </row>
    <row r="45" spans="1:32" x14ac:dyDescent="0.25">
      <c r="A45" s="191" t="s">
        <v>404</v>
      </c>
      <c r="B45" s="40">
        <f>IFERROR((1+IRR(C36:AF36,0.02))^12-1,"n/a")</f>
        <v>0.25042973704983007</v>
      </c>
      <c r="C45" s="92"/>
      <c r="D45" s="92"/>
      <c r="E45" s="92"/>
      <c r="F45" s="92"/>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row>
    <row r="46" spans="1:32" x14ac:dyDescent="0.25">
      <c r="A46" s="41" t="s">
        <v>592</v>
      </c>
      <c r="B46" s="41">
        <f>IFERROR(SUMIF(C36:AF36,"&gt;0")/-SUMIF(C36:AF36,"&lt;0"),"n/a")</f>
        <v>1.3667939176490644</v>
      </c>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c r="AA46" s="111"/>
      <c r="AB46" s="111"/>
      <c r="AC46" s="111"/>
      <c r="AD46" s="111"/>
      <c r="AE46" s="111"/>
      <c r="AF46" s="111"/>
    </row>
    <row r="47" spans="1:32" x14ac:dyDescent="0.25">
      <c r="A47" s="38"/>
      <c r="B47" s="38" t="s">
        <v>593</v>
      </c>
      <c r="C47" s="38">
        <f>-(C14*(1-Inputs!$C$19))+IF(C$3=1,-(Waterfall!$C$6-Engine!$B$24),0)+IF(C$3=Inputs!$C$35,Waterfall!$C$33,0)</f>
        <v>0</v>
      </c>
      <c r="D47" s="38">
        <f>-(D14*(1-Inputs!$C$19))+IF(D$3=1,-(Waterfall!$C$6-Engine!$B$24),0)+IF(D$3=Inputs!$C$35,Waterfall!$C$33,0)</f>
        <v>0</v>
      </c>
      <c r="E47" s="38">
        <f>-(E14*(1-Inputs!$C$19))+IF(E$3=1,-(Waterfall!$C$6-Engine!$B$24),0)+IF(E$3=Inputs!$C$35,Waterfall!$C$33,0)</f>
        <v>0</v>
      </c>
      <c r="F47" s="38">
        <f>-(F14*(1-Inputs!$C$19))+IF(F$3=1,-(Waterfall!$C$6-Engine!$B$24),0)+IF(F$3=Inputs!$C$35,Waterfall!$C$33,0)</f>
        <v>0</v>
      </c>
      <c r="G47" s="38">
        <f>-(G14*(1-Inputs!$C$19))+IF(G$3=1,-(Waterfall!$C$6-Engine!$B$24),0)+IF(G$3=Inputs!$C$35,Waterfall!$C$33,0)</f>
        <v>0</v>
      </c>
      <c r="H47" s="38">
        <f>-(H14*(1-Inputs!$C$19))+IF(H$3=1,-(Waterfall!$C$6-Engine!$B$24),0)+IF(H$3=Inputs!$C$35,Waterfall!$C$33,0)</f>
        <v>0</v>
      </c>
      <c r="I47" s="38">
        <f>-(I14*(1-Inputs!$C$19))+IF(I$3=1,-(Waterfall!$C$6-Engine!$B$24),0)+IF(I$3=Inputs!$C$35,Waterfall!$C$33,0)</f>
        <v>0</v>
      </c>
      <c r="J47" s="38">
        <f>-(J14*(1-Inputs!$C$19))+IF(J$3=1,-(Waterfall!$C$6-Engine!$B$24),0)+IF(J$3=Inputs!$C$35,Waterfall!$C$33,0)</f>
        <v>0</v>
      </c>
      <c r="K47" s="38">
        <f>-(K14*(1-Inputs!$C$19))+IF(K$3=1,-(Waterfall!$C$6-Engine!$B$24),0)+IF(K$3=Inputs!$C$35,Waterfall!$C$33,0)</f>
        <v>0</v>
      </c>
      <c r="L47" s="38">
        <f>-(L14*(1-Inputs!$C$19))+IF(L$3=1,-(Waterfall!$C$6-Engine!$B$24),0)+IF(L$3=Inputs!$C$35,Waterfall!$C$33,0)</f>
        <v>0</v>
      </c>
      <c r="M47" s="38">
        <f>-(M14*(1-Inputs!$C$19))+IF(M$3=1,-(Waterfall!$C$6-Engine!$B$24),0)+IF(M$3=Inputs!$C$35,Waterfall!$C$33,0)</f>
        <v>0</v>
      </c>
      <c r="N47" s="38">
        <f>-(N14*(1-Inputs!$C$19))+IF(N$3=1,-(Waterfall!$C$6-Engine!$B$24),0)+IF(N$3=Inputs!$C$35,Waterfall!$C$33,0)</f>
        <v>0</v>
      </c>
      <c r="O47" s="38">
        <f>-(O14*(1-Inputs!$C$19))+IF(O$3=1,-(Waterfall!$C$6-Engine!$B$24),0)+IF(O$3=Inputs!$C$35,Waterfall!$C$33,0)</f>
        <v>0</v>
      </c>
      <c r="P47" s="38">
        <f>-(P14*(1-Inputs!$C$19))+IF(P$3=1,-(Waterfall!$C$6-Engine!$B$24),0)+IF(P$3=Inputs!$C$35,Waterfall!$C$33,0)</f>
        <v>0</v>
      </c>
      <c r="Q47" s="38">
        <f>-(Q14*(1-Inputs!$C$19))+IF(Q$3=1,-(Waterfall!$C$6-Engine!$B$24),0)+IF(Q$3=Inputs!$C$35,Waterfall!$C$33,0)</f>
        <v>0</v>
      </c>
      <c r="R47" s="38">
        <f>-(R14*(1-Inputs!$C$19))+IF(R$3=1,-(Waterfall!$C$6-Engine!$B$24),0)+IF(R$3=Inputs!$C$35,Waterfall!$C$33,0)</f>
        <v>0</v>
      </c>
      <c r="S47" s="38">
        <f>-(S14*(1-Inputs!$C$19))+IF(S$3=1,-(Waterfall!$C$6-Engine!$B$24),0)+IF(S$3=Inputs!$C$35,Waterfall!$C$33,0)</f>
        <v>0</v>
      </c>
      <c r="T47" s="38">
        <f>-(T14*(1-Inputs!$C$19))+IF(T$3=1,-(Waterfall!$C$6-Engine!$B$24),0)+IF(T$3=Inputs!$C$35,Waterfall!$C$33,0)</f>
        <v>0</v>
      </c>
      <c r="U47" s="38">
        <f>-(U14*(1-Inputs!$C$19))+IF(U$3=1,-(Waterfall!$C$6-Engine!$B$24),0)+IF(U$3=Inputs!$C$35,Waterfall!$C$33,0)</f>
        <v>0</v>
      </c>
      <c r="V47" s="38">
        <f>-(V14*(1-Inputs!$C$19))+IF(V$3=1,-(Waterfall!$C$6-Engine!$B$24),0)+IF(V$3=Inputs!$C$35,Waterfall!$C$33,0)</f>
        <v>0</v>
      </c>
      <c r="W47" s="38">
        <f>-(W14*(1-Inputs!$C$19))+IF(W$3=1,-(Waterfall!$C$6-Engine!$B$24),0)+IF(W$3=Inputs!$C$35,Waterfall!$C$33,0)</f>
        <v>-22871.902091348569</v>
      </c>
      <c r="X47" s="38">
        <f>-(X14*(1-Inputs!$C$19))+IF(X$3=1,-(Waterfall!$C$6-Engine!$B$24),0)+IF(X$3=Inputs!$C$35,Waterfall!$C$33,0)</f>
        <v>-32776.370000000003</v>
      </c>
      <c r="Y47" s="38">
        <f>-(Y14*(1-Inputs!$C$19))+IF(Y$3=1,-(Waterfall!$C$6-Engine!$B$24),0)+IF(Y$3=Inputs!$C$35,Waterfall!$C$33,0)</f>
        <v>-32776.370000000003</v>
      </c>
      <c r="Z47" s="38">
        <f>-(Z14*(1-Inputs!$C$19))+IF(Z$3=1,-(Waterfall!$C$6-Engine!$B$24),0)+IF(Z$3=Inputs!$C$35,Waterfall!$C$33,0)</f>
        <v>-32776.370000000003</v>
      </c>
      <c r="AA47" s="38">
        <f>-(AA14*(1-Inputs!$C$19))+IF(AA$3=1,-(Waterfall!$C$6-Engine!$B$24),0)+IF(AA$3=Inputs!$C$35,Waterfall!$C$33,0)</f>
        <v>-32776.370000000003</v>
      </c>
      <c r="AB47" s="38">
        <f>-(AB14*(1-Inputs!$C$19))+IF(AB$3=1,-(Waterfall!$C$6-Engine!$B$24),0)+IF(AB$3=Inputs!$C$35,Waterfall!$C$33,0)</f>
        <v>-32776.370000000003</v>
      </c>
      <c r="AC47" s="38">
        <f>-(AC14*(1-Inputs!$C$19))+IF(AC$3=1,-(Waterfall!$C$6-Engine!$B$24),0)+IF(AC$3=Inputs!$C$35,Waterfall!$C$33,0)</f>
        <v>-32776.370000000003</v>
      </c>
      <c r="AD47" s="38">
        <f>-(AD14*(1-Inputs!$C$19))+IF(AD$3=1,-(Waterfall!$C$6-Engine!$B$24),0)+IF(AD$3=Inputs!$C$35,Waterfall!$C$33,0)</f>
        <v>0</v>
      </c>
      <c r="AE47" s="38">
        <f>-(AE14*(1-Inputs!$C$19))+IF(AE$3=1,-(Waterfall!$C$6-Engine!$B$24),0)+IF(AE$3=Inputs!$C$35,Waterfall!$C$33,0)</f>
        <v>0</v>
      </c>
      <c r="AF47" s="38">
        <f>-(AF14*(1-Inputs!$C$19))+IF(AF$3=1,-(Waterfall!$C$6-Engine!$B$24),0)+IF(AF$3=Inputs!$C$35,Waterfall!$C$33,0)</f>
        <v>551692.03335595096</v>
      </c>
    </row>
    <row r="48" spans="1:32" x14ac:dyDescent="0.25">
      <c r="A48" s="38"/>
      <c r="B48" s="38" t="s">
        <v>594</v>
      </c>
      <c r="C48" s="38">
        <f>-(C14*Inputs!$C$19)+IF(C$3=Inputs!$C$35,Waterfall!$D$33,0)</f>
        <v>0</v>
      </c>
      <c r="D48" s="38">
        <f>-(D14*Inputs!$C$19)+IF(D$3=Inputs!$C$35,Waterfall!$D$33,0)</f>
        <v>0</v>
      </c>
      <c r="E48" s="38">
        <f>-(E14*Inputs!$C$19)+IF(E$3=Inputs!$C$35,Waterfall!$D$33,0)</f>
        <v>0</v>
      </c>
      <c r="F48" s="38">
        <f>-(F14*Inputs!$C$19)+IF(F$3=Inputs!$C$35,Waterfall!$D$33,0)</f>
        <v>0</v>
      </c>
      <c r="G48" s="38">
        <f>-(G14*Inputs!$C$19)+IF(G$3=Inputs!$C$35,Waterfall!$D$33,0)</f>
        <v>0</v>
      </c>
      <c r="H48" s="38">
        <f>-(H14*Inputs!$C$19)+IF(H$3=Inputs!$C$35,Waterfall!$D$33,0)</f>
        <v>0</v>
      </c>
      <c r="I48" s="38">
        <f>-(I14*Inputs!$C$19)+IF(I$3=Inputs!$C$35,Waterfall!$D$33,0)</f>
        <v>0</v>
      </c>
      <c r="J48" s="38">
        <f>-(J14*Inputs!$C$19)+IF(J$3=Inputs!$C$35,Waterfall!$D$33,0)</f>
        <v>0</v>
      </c>
      <c r="K48" s="38">
        <f>-(K14*Inputs!$C$19)+IF(K$3=Inputs!$C$35,Waterfall!$D$33,0)</f>
        <v>0</v>
      </c>
      <c r="L48" s="38">
        <f>-(L14*Inputs!$C$19)+IF(L$3=Inputs!$C$35,Waterfall!$D$33,0)</f>
        <v>0</v>
      </c>
      <c r="M48" s="38">
        <f>-(M14*Inputs!$C$19)+IF(M$3=Inputs!$C$35,Waterfall!$D$33,0)</f>
        <v>0</v>
      </c>
      <c r="N48" s="38">
        <f>-(N14*Inputs!$C$19)+IF(N$3=Inputs!$C$35,Waterfall!$D$33,0)</f>
        <v>0</v>
      </c>
      <c r="O48" s="38">
        <f>-(O14*Inputs!$C$19)+IF(O$3=Inputs!$C$35,Waterfall!$D$33,0)</f>
        <v>0</v>
      </c>
      <c r="P48" s="38">
        <f>-(P14*Inputs!$C$19)+IF(P$3=Inputs!$C$35,Waterfall!$D$33,0)</f>
        <v>0</v>
      </c>
      <c r="Q48" s="38">
        <f>-(Q14*Inputs!$C$19)+IF(Q$3=Inputs!$C$35,Waterfall!$D$33,0)</f>
        <v>0</v>
      </c>
      <c r="R48" s="38">
        <f>-(R14*Inputs!$C$19)+IF(R$3=Inputs!$C$35,Waterfall!$D$33,0)</f>
        <v>0</v>
      </c>
      <c r="S48" s="38">
        <f>-(S14*Inputs!$C$19)+IF(S$3=Inputs!$C$35,Waterfall!$D$33,0)</f>
        <v>0</v>
      </c>
      <c r="T48" s="38">
        <f>-(T14*Inputs!$C$19)+IF(T$3=Inputs!$C$35,Waterfall!$D$33,0)</f>
        <v>0</v>
      </c>
      <c r="U48" s="38">
        <f>-(U14*Inputs!$C$19)+IF(U$3=Inputs!$C$35,Waterfall!$D$33,0)</f>
        <v>0</v>
      </c>
      <c r="V48" s="38">
        <f>-(V14*Inputs!$C$19)+IF(V$3=Inputs!$C$35,Waterfall!$D$33,0)</f>
        <v>0</v>
      </c>
      <c r="W48" s="38">
        <f>-(W14*Inputs!$C$19)+IF(W$3=Inputs!$C$35,Waterfall!$D$33,0)</f>
        <v>-53367.771546479984</v>
      </c>
      <c r="X48" s="38">
        <f>-(X14*Inputs!$C$19)+IF(X$3=Inputs!$C$35,Waterfall!$D$33,0)</f>
        <v>-76478.196666666656</v>
      </c>
      <c r="Y48" s="38">
        <f>-(Y14*Inputs!$C$19)+IF(Y$3=Inputs!$C$35,Waterfall!$D$33,0)</f>
        <v>-76478.196666666656</v>
      </c>
      <c r="Z48" s="38">
        <f>-(Z14*Inputs!$C$19)+IF(Z$3=Inputs!$C$35,Waterfall!$D$33,0)</f>
        <v>-76478.196666666656</v>
      </c>
      <c r="AA48" s="38">
        <f>-(AA14*Inputs!$C$19)+IF(AA$3=Inputs!$C$35,Waterfall!$D$33,0)</f>
        <v>-76478.196666666656</v>
      </c>
      <c r="AB48" s="38">
        <f>-(AB14*Inputs!$C$19)+IF(AB$3=Inputs!$C$35,Waterfall!$D$33,0)</f>
        <v>-76478.196666666656</v>
      </c>
      <c r="AC48" s="38">
        <f>-(AC14*Inputs!$C$19)+IF(AC$3=Inputs!$C$35,Waterfall!$D$33,0)</f>
        <v>-76478.196666666656</v>
      </c>
      <c r="AD48" s="38">
        <f>-(AD14*Inputs!$C$19)+IF(AD$3=Inputs!$C$35,Waterfall!$D$33,0)</f>
        <v>0</v>
      </c>
      <c r="AE48" s="38">
        <f>-(AE14*Inputs!$C$19)+IF(AE$3=Inputs!$C$35,Waterfall!$D$33,0)</f>
        <v>0</v>
      </c>
      <c r="AF48" s="38">
        <f>-(AF14*Inputs!$C$19)+IF(AF$3=Inputs!$C$35,Waterfall!$D$33,0)</f>
        <v>648203.07798582083</v>
      </c>
    </row>
    <row r="49" spans="1:32" x14ac:dyDescent="0.25">
      <c r="A49" s="38"/>
      <c r="B49" s="38" t="s">
        <v>595</v>
      </c>
      <c r="C49" s="38">
        <f>IF(C$3=1,-Waterfall!$E$6,0)+IF(C$3=Inputs!$C$35,Waterfall!$E$33,0)</f>
        <v>-525000</v>
      </c>
      <c r="D49" s="38">
        <f>IF(D$3=1,-Waterfall!$E$6,0)+IF(D$3=Inputs!$C$35,Waterfall!$E$33,0)</f>
        <v>0</v>
      </c>
      <c r="E49" s="38">
        <f>IF(E$3=1,-Waterfall!$E$6,0)+IF(E$3=Inputs!$C$35,Waterfall!$E$33,0)</f>
        <v>0</v>
      </c>
      <c r="F49" s="38">
        <f>IF(F$3=1,-Waterfall!$E$6,0)+IF(F$3=Inputs!$C$35,Waterfall!$E$33,0)</f>
        <v>0</v>
      </c>
      <c r="G49" s="38">
        <f>IF(G$3=1,-Waterfall!$E$6,0)+IF(G$3=Inputs!$C$35,Waterfall!$E$33,0)</f>
        <v>0</v>
      </c>
      <c r="H49" s="38">
        <f>IF(H$3=1,-Waterfall!$E$6,0)+IF(H$3=Inputs!$C$35,Waterfall!$E$33,0)</f>
        <v>0</v>
      </c>
      <c r="I49" s="38">
        <f>IF(I$3=1,-Waterfall!$E$6,0)+IF(I$3=Inputs!$C$35,Waterfall!$E$33,0)</f>
        <v>0</v>
      </c>
      <c r="J49" s="38">
        <f>IF(J$3=1,-Waterfall!$E$6,0)+IF(J$3=Inputs!$C$35,Waterfall!$E$33,0)</f>
        <v>0</v>
      </c>
      <c r="K49" s="38">
        <f>IF(K$3=1,-Waterfall!$E$6,0)+IF(K$3=Inputs!$C$35,Waterfall!$E$33,0)</f>
        <v>0</v>
      </c>
      <c r="L49" s="38">
        <f>IF(L$3=1,-Waterfall!$E$6,0)+IF(L$3=Inputs!$C$35,Waterfall!$E$33,0)</f>
        <v>0</v>
      </c>
      <c r="M49" s="38">
        <f>IF(M$3=1,-Waterfall!$E$6,0)+IF(M$3=Inputs!$C$35,Waterfall!$E$33,0)</f>
        <v>0</v>
      </c>
      <c r="N49" s="38">
        <f>IF(N$3=1,-Waterfall!$E$6,0)+IF(N$3=Inputs!$C$35,Waterfall!$E$33,0)</f>
        <v>0</v>
      </c>
      <c r="O49" s="38">
        <f>IF(O$3=1,-Waterfall!$E$6,0)+IF(O$3=Inputs!$C$35,Waterfall!$E$33,0)</f>
        <v>0</v>
      </c>
      <c r="P49" s="38">
        <f>IF(P$3=1,-Waterfall!$E$6,0)+IF(P$3=Inputs!$C$35,Waterfall!$E$33,0)</f>
        <v>0</v>
      </c>
      <c r="Q49" s="38">
        <f>IF(Q$3=1,-Waterfall!$E$6,0)+IF(Q$3=Inputs!$C$35,Waterfall!$E$33,0)</f>
        <v>0</v>
      </c>
      <c r="R49" s="38">
        <f>IF(R$3=1,-Waterfall!$E$6,0)+IF(R$3=Inputs!$C$35,Waterfall!$E$33,0)</f>
        <v>0</v>
      </c>
      <c r="S49" s="38">
        <f>IF(S$3=1,-Waterfall!$E$6,0)+IF(S$3=Inputs!$C$35,Waterfall!$E$33,0)</f>
        <v>0</v>
      </c>
      <c r="T49" s="38">
        <f>IF(T$3=1,-Waterfall!$E$6,0)+IF(T$3=Inputs!$C$35,Waterfall!$E$33,0)</f>
        <v>0</v>
      </c>
      <c r="U49" s="38">
        <f>IF(U$3=1,-Waterfall!$E$6,0)+IF(U$3=Inputs!$C$35,Waterfall!$E$33,0)</f>
        <v>0</v>
      </c>
      <c r="V49" s="38">
        <f>IF(V$3=1,-Waterfall!$E$6,0)+IF(V$3=Inputs!$C$35,Waterfall!$E$33,0)</f>
        <v>0</v>
      </c>
      <c r="W49" s="38">
        <f>IF(W$3=1,-Waterfall!$E$6,0)+IF(W$3=Inputs!$C$35,Waterfall!$E$33,0)</f>
        <v>0</v>
      </c>
      <c r="X49" s="38">
        <f>IF(X$3=1,-Waterfall!$E$6,0)+IF(X$3=Inputs!$C$35,Waterfall!$E$33,0)</f>
        <v>0</v>
      </c>
      <c r="Y49" s="38">
        <f>IF(Y$3=1,-Waterfall!$E$6,0)+IF(Y$3=Inputs!$C$35,Waterfall!$E$33,0)</f>
        <v>0</v>
      </c>
      <c r="Z49" s="38">
        <f>IF(Z$3=1,-Waterfall!$E$6,0)+IF(Z$3=Inputs!$C$35,Waterfall!$E$33,0)</f>
        <v>0</v>
      </c>
      <c r="AA49" s="38">
        <f>IF(AA$3=1,-Waterfall!$E$6,0)+IF(AA$3=Inputs!$C$35,Waterfall!$E$33,0)</f>
        <v>0</v>
      </c>
      <c r="AB49" s="38">
        <f>IF(AB$3=1,-Waterfall!$E$6,0)+IF(AB$3=Inputs!$C$35,Waterfall!$E$33,0)</f>
        <v>0</v>
      </c>
      <c r="AC49" s="38">
        <f>IF(AC$3=1,-Waterfall!$E$6,0)+IF(AC$3=Inputs!$C$35,Waterfall!$E$33,0)</f>
        <v>0</v>
      </c>
      <c r="AD49" s="38">
        <f>IF(AD$3=1,-Waterfall!$E$6,0)+IF(AD$3=Inputs!$C$35,Waterfall!$E$33,0)</f>
        <v>0</v>
      </c>
      <c r="AE49" s="38">
        <f>IF(AE$3=1,-Waterfall!$E$6,0)+IF(AE$3=Inputs!$C$35,Waterfall!$E$33,0)</f>
        <v>0</v>
      </c>
      <c r="AF49" s="38">
        <f>IF(AF$3=1,-Waterfall!$E$6,0)+IF(AF$3=Inputs!$C$35,Waterfall!$E$33,0)</f>
        <v>748504.65364534897</v>
      </c>
    </row>
    <row r="50" spans="1:32" x14ac:dyDescent="0.25">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row>
    <row r="51" spans="1:32" x14ac:dyDescent="0.25">
      <c r="A51" s="38" t="s">
        <v>596</v>
      </c>
      <c r="B51" s="266">
        <f>IFERROR((1+IRR(C47:AF47,0.02))^12-1,"n/a")</f>
        <v>5.0465773223007355</v>
      </c>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row>
    <row r="52" spans="1:32" x14ac:dyDescent="0.25">
      <c r="A52" s="38" t="s">
        <v>597</v>
      </c>
      <c r="B52" s="266">
        <f>IFERROR((1+IRR(C48:AF48,0.02))^12-1,"n/a")</f>
        <v>0.6090743071612732</v>
      </c>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row>
    <row r="53" spans="1:32" x14ac:dyDescent="0.25">
      <c r="A53" s="38" t="s">
        <v>598</v>
      </c>
      <c r="B53" s="266">
        <f>IFERROR((1+IRR(C49:AF49,0.02))^12-1,"n/a")</f>
        <v>0.15808038025449034</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row>
  </sheetData>
  <sheetProtection algorithmName="SHA-512" hashValue="w7G42or83sRqxQznz825RPH1luxRZhxvPptW+QL+q1a4tbkR0v0vQcFwn0wbArgVIKYMNo8zTdEgY0J89TIrQA==" saltValue="lDrgdhnPq3iSRIHBhoO4AA==" spinCount="100000" sheet="1" objects="1" scenarios="1"/>
  <mergeCells count="4">
    <mergeCell ref="A1:AF1"/>
    <mergeCell ref="A2:AF2"/>
    <mergeCell ref="A7:AF7"/>
    <mergeCell ref="A16:AF16"/>
  </mergeCells>
  <pageMargins left="0.75" right="0.75" top="1" bottom="1" header="0.511811023622047" footer="0.511811023622047"/>
  <pageSetup paperSize="9" orientation="portrait" horizontalDpi="300" verticalDpi="300"/>
  <headerFooter>
    <oddHeader>&amp;C&amp;"Aptos"&amp;10&amp;K008000 This Email / Document has been classified as Public by Olu Oke&amp;1#_x000D_</oddHeader>
    <oddFooter>&amp;C_x000D_&amp;1#&amp;"Aptos"&amp;10&amp;K000000 Public</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Claude Log</vt:lpstr>
      <vt:lpstr>Read Me</vt:lpstr>
      <vt:lpstr>Summary</vt:lpstr>
      <vt:lpstr>Inputs</vt:lpstr>
      <vt:lpstr>Cashflow</vt:lpstr>
      <vt:lpstr>Waterfall</vt:lpstr>
      <vt:lpstr>Sensitivity</vt:lpstr>
      <vt:lpstr>Comparison</vt:lpstr>
      <vt:lpstr>Engine</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Olu Oke</cp:lastModifiedBy>
  <cp:revision>0</cp:revision>
  <cp:lastPrinted>2026-06-25T11:32:00Z</cp:lastPrinted>
  <dcterms:created xsi:type="dcterms:W3CDTF">2026-06-22T14:24:51Z</dcterms:created>
  <dcterms:modified xsi:type="dcterms:W3CDTF">2026-06-25T12:56:34Z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5f9a5e3-c099-4fdc-96b9-08842cc36ff2_Enabled">
    <vt:lpwstr>true</vt:lpwstr>
  </property>
  <property fmtid="{D5CDD505-2E9C-101B-9397-08002B2CF9AE}" pid="3" name="MSIP_Label_45f9a5e3-c099-4fdc-96b9-08842cc36ff2_SetDate">
    <vt:lpwstr>2026-06-23T05:02:05Z</vt:lpwstr>
  </property>
  <property fmtid="{D5CDD505-2E9C-101B-9397-08002B2CF9AE}" pid="4" name="MSIP_Label_45f9a5e3-c099-4fdc-96b9-08842cc36ff2_Method">
    <vt:lpwstr>Privileged</vt:lpwstr>
  </property>
  <property fmtid="{D5CDD505-2E9C-101B-9397-08002B2CF9AE}" pid="5" name="MSIP_Label_45f9a5e3-c099-4fdc-96b9-08842cc36ff2_Name">
    <vt:lpwstr>Public</vt:lpwstr>
  </property>
  <property fmtid="{D5CDD505-2E9C-101B-9397-08002B2CF9AE}" pid="6" name="MSIP_Label_45f9a5e3-c099-4fdc-96b9-08842cc36ff2_SiteId">
    <vt:lpwstr>1b589bdd-af9b-40f9-af14-7df27f6b4206</vt:lpwstr>
  </property>
  <property fmtid="{D5CDD505-2E9C-101B-9397-08002B2CF9AE}" pid="7" name="MSIP_Label_45f9a5e3-c099-4fdc-96b9-08842cc36ff2_ActionId">
    <vt:lpwstr>0bd89371-9952-4a82-9185-7cd3c6c808d2</vt:lpwstr>
  </property>
  <property fmtid="{D5CDD505-2E9C-101B-9397-08002B2CF9AE}" pid="8" name="MSIP_Label_45f9a5e3-c099-4fdc-96b9-08842cc36ff2_ContentBits">
    <vt:lpwstr>3</vt:lpwstr>
  </property>
  <property fmtid="{D5CDD505-2E9C-101B-9397-08002B2CF9AE}" pid="9" name="MSIP_Label_45f9a5e3-c099-4fdc-96b9-08842cc36ff2_Tag">
    <vt:lpwstr>10, 0, 1, 1</vt:lpwstr>
  </property>
</Properties>
</file>